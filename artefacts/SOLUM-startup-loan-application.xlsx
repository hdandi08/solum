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6.xml" ContentType="application/vnd.openxmlformats-officedocument.spreadsheetml.worksheet+xml"/>
  <Override PartName="/xl/drawings/drawing5.xml" ContentType="application/vnd.openxmlformats-officedocument.drawing+xml"/>
  <Override PartName="/xl/comments/comment3.xml" ContentType="application/vnd.openxmlformats-officedocument.spreadsheetml.comments+xml"/>
  <Override PartName="/xl/worksheets/sheet7.xml" ContentType="application/vnd.openxmlformats-officedocument.spreadsheetml.worksheet+xml"/>
  <Override PartName="/xl/drawings/drawing6.xml" ContentType="application/vnd.openxmlformats-officedocument.drawing+xml"/>
  <Override PartName="/xl/comments/comment4.xml" ContentType="application/vnd.openxmlformats-officedocument.spreadsheetml.comments+xml"/>
  <Override PartName="/xl/worksheets/sheet8.xml" ContentType="application/vnd.openxmlformats-officedocument.spreadsheetml.worksheet+xml"/>
  <Override PartName="/xl/drawings/drawing7.xml" ContentType="application/vnd.openxmlformats-officedocument.drawing+xml"/>
  <Override PartName="/xl/comments/comment5.xml" ContentType="application/vnd.openxmlformats-officedocument.spreadsheetml.comments+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600" firstSheet="1" activeTab="6" autoFilterDateGrouping="1"/>
  </bookViews>
  <sheets>
    <sheet name="Months" sheetId="1" state="hidden" r:id="rId1"/>
    <sheet name="Guidance" sheetId="2" state="visible" r:id="rId2"/>
    <sheet name="1 Business Plan(BP)" sheetId="3" state="visible" r:id="rId3"/>
    <sheet name="Loan Calculator" sheetId="4" state="hidden" r:id="rId4"/>
    <sheet name="2 Personal Survival Budget(PSB)" sheetId="5" state="visible" r:id="rId5"/>
    <sheet name="3 Sales Assumptions(SA)" sheetId="6" state="visible" r:id="rId6"/>
    <sheet name="4 Cash Flow Forecast(CFF)" sheetId="7" state="visible" r:id="rId7"/>
    <sheet name="1 Actual Cash Flows" sheetId="8" state="hidden" r:id="rId8"/>
    <sheet name="Excel Tips" sheetId="9" state="hidden" r:id="rId9"/>
  </sheets>
  <externalReferences>
    <externalReference r:id="rId10"/>
  </externalReferences>
  <definedNames>
    <definedName name="Beginning_Balance">-FV(Interest_Rate/12,Payment_Number-1,-Monthly_Payment,Loan_Amount)</definedName>
    <definedName name="ColumnTitle1">#REF!</definedName>
    <definedName name="Ending_Balance">-FV(Interest_Rate/12,Payment_Number,-Monthly_Payment,Loan_Amount)</definedName>
    <definedName name="Full_Print">#REF!</definedName>
    <definedName name="Header_Row">ROW(#REF!)</definedName>
    <definedName name="Header_Row_Back">ROW(#REF!)</definedName>
    <definedName name="Interest">-IPMT(Interest_Rate/12,Payment_Number,Number_of_Payments,Loan_Amount)</definedName>
    <definedName name="Interest_Rate">#REF!</definedName>
    <definedName name="Last_Row">IF(Values_Entered,Header_Row+Number_of_Payments,Header_Row)</definedName>
    <definedName name="Loan_Amount">#REF!</definedName>
    <definedName name="Loan_Not_Paid">IF(Payment_Number&lt;=Number_of_Payments,1,0)</definedName>
    <definedName name="Loan_Start">#REF!</definedName>
    <definedName name="Loan_Years">#REF!</definedName>
    <definedName name="Monthly_Payment">-PMT(Interest_Rate/12,Number_of_Payments,Loan_Amount)</definedName>
    <definedName name="Number_of_Payments">#REF!</definedName>
    <definedName name="Payment_Date">DATE(YEAR(Loan_Start),MONTH(Loan_Start)+Payment_Number,DAY(Loan_Start))</definedName>
    <definedName name="Payment_Number">ROW()-Header_Row</definedName>
    <definedName name="Principal">-PPMT(Interest_Rate/12,Payment_Number,Number_of_Payments,Loan_Amount)</definedName>
    <definedName name="RowTitleRegion1..E6">#REF!</definedName>
    <definedName name="RowTitleRegion2..E11">#REF!</definedName>
    <definedName name="Total_Cost">#REF!</definedName>
    <definedName name="Total_Interest">#REF!</definedName>
    <definedName name="Values_Entered">IF(Loan_Amount*Interest_Rate*Loan_Years*Loan_Start&gt;0,1,0)</definedName>
    <definedName name="Beginning_Balance" localSheetId="1">-FV(Guidance!Interest_Rate/12,Guidance!Payment_Number-1,-Guidance!Monthly_Payment,Guidance!Loan_Amount)</definedName>
    <definedName name="ColumnTitle1" localSheetId="1">[1]!Loan[[#Headers],[No.]]</definedName>
    <definedName name="Ending_Balance" localSheetId="1">-FV(Guidance!Interest_Rate/12,Guidance!Payment_Number,-Guidance!Monthly_Payment,Guidance!Loan_Amount)</definedName>
    <definedName name="Header_Row" localSheetId="1">ROW('[1]Loan Calculator'!$14:$14)</definedName>
    <definedName name="Header_Row_Back" localSheetId="1">ROW('[1]Loan Calculator'!$14:$14)</definedName>
    <definedName name="Interest" localSheetId="1">-IPMT(Guidance!Interest_Rate/12,Guidance!Payment_Number,Guidance!Number_of_Payments,Guidance!Loan_Amount)</definedName>
    <definedName name="Interest_Rate" localSheetId="1">'[1]Loan Calculator'!$E$6</definedName>
    <definedName name="Last_Row" localSheetId="1">IF(Guidance!Values_Entered,Guidance!Header_Row+Guidance!Number_of_Payments,Guidance!Header_Row)</definedName>
    <definedName name="Loan_Amount" localSheetId="1">'[1]Loan Calculator'!$E$5</definedName>
    <definedName name="Loan_Not_Paid" localSheetId="1">IF(Guidance!Payment_Number&lt;=Guidance!Number_of_Payments,1,0)</definedName>
    <definedName name="Loan_Start" localSheetId="1">'[1]Loan Calculator'!$E$8</definedName>
    <definedName name="Loan_Years" localSheetId="1">'[1]Loan Calculator'!$E$7</definedName>
    <definedName name="Monthly_Payment" localSheetId="1">-PMT(Guidance!Interest_Rate/12,Guidance!Number_of_Payments,Guidance!Loan_Amount)</definedName>
    <definedName name="Number_of_Payments" localSheetId="1">'[1]Loan Calculator'!$E$11</definedName>
    <definedName name="Payment_Date" localSheetId="1">DATE(YEAR(Guidance!Loan_Start),MONTH(Guidance!Loan_Start)+Guidance!Payment_Number,DAY(Guidance!Loan_Start))</definedName>
    <definedName name="Payment_Number" localSheetId="1">ROW()-Guidance!Header_Row</definedName>
    <definedName name="Principal" localSheetId="1">-PPMT(Guidance!Interest_Rate/12,Guidance!Payment_Number,Guidance!Number_of_Payments,Guidance!Loan_Amount)</definedName>
    <definedName name="Total_Cost" localSheetId="1">'[1]Loan Calculator'!$E$13</definedName>
    <definedName name="Values_Entered" localSheetId="1">IF(Guidance!Loan_Amount*Guidance!Interest_Rate*Guidance!Loan_Years*Guidance!Loan_Start&gt;0,1,0)</definedName>
    <definedName name="_xlnm.Print_Area" localSheetId="1">'Guidance'!$A$1:$O$22</definedName>
    <definedName name="Beginning_Balance" localSheetId="2">-FV(Interest_Rate/12,'1 Business Plan(BP)'!Payment_Number-1,-'1 Business Plan(BP)'!Monthly_Payment,Loan_Amount)</definedName>
    <definedName name="ColumnTitle1" localSheetId="2">#REF!</definedName>
    <definedName name="Ending_Balance" localSheetId="2">-FV(Interest_Rate/12,'1 Business Plan(BP)'!Payment_Number,-'1 Business Plan(BP)'!Monthly_Payment,Loan_Amount)</definedName>
    <definedName name="Interest" localSheetId="2">-IPMT(Interest_Rate/12,'1 Business Plan(BP)'!Payment_Number,Number_of_Payments,Loan_Amount)</definedName>
    <definedName name="Last_Row" localSheetId="2">IF('1 Business Plan(BP)'!Values_Entered,Header_Row+Number_of_Payments,Header_Row)</definedName>
    <definedName name="Loan_Not_Paid" localSheetId="2">IF('1 Business Plan(BP)'!Payment_Number&lt;=Number_of_Payments,1,0)</definedName>
    <definedName name="Monthly_Payment" localSheetId="2">-PMT(Interest_Rate/12,Number_of_Payments,Loan_Amount)</definedName>
    <definedName name="Payment_Date" localSheetId="2">DATE(YEAR(Loan_Start),MONTH(Loan_Start)+'1 Business Plan(BP)'!Payment_Number,DAY(Loan_Start))</definedName>
    <definedName name="Payment_Number" localSheetId="2">ROW()-Header_Row</definedName>
    <definedName name="Principal" localSheetId="2">-PPMT(Interest_Rate/12,'1 Business Plan(BP)'!Payment_Number,Number_of_Payments,Loan_Amount)</definedName>
    <definedName name="Values_Entered" localSheetId="2">IF(Loan_Amount*Interest_Rate*Loan_Years*Loan_Start&gt;0,1,0)</definedName>
    <definedName name="Beginning_Balance" localSheetId="3">-FV('Loan Calculator'!Interest_Rate/12,'Loan Calculator'!Payment_Number-1,-'Loan Calculator'!Monthly_Payment,'Loan Calculator'!Loan_Amount)</definedName>
    <definedName name="ColumnTitle1" localSheetId="3">Loan3[[#Headers],[No.]]</definedName>
    <definedName name="Ending_Balance" localSheetId="3">-FV('Loan Calculator'!Interest_Rate/12,'Loan Calculator'!Payment_Number,-'Loan Calculator'!Monthly_Payment,'Loan Calculator'!Loan_Amount)</definedName>
    <definedName name="Full_Print" localSheetId="3">'Loan Calculator'!$A$4:$H$262</definedName>
    <definedName name="Header_Row" localSheetId="3">ROW('Loan Calculator'!$26:$26)</definedName>
    <definedName name="Header_Row_Back" localSheetId="3">ROW('Loan Calculator'!$26:$26)</definedName>
    <definedName name="Interest" localSheetId="3">-IPMT('Loan Calculator'!Interest_Rate/12,'Loan Calculator'!Payment_Number,'Loan Calculator'!Number_of_Payments,'Loan Calculator'!Loan_Amount)</definedName>
    <definedName name="Interest_Rate" localSheetId="3">'Loan Calculator'!$E$18</definedName>
    <definedName name="Last_Row" localSheetId="3">IF('Loan Calculator'!Values_Entered,'Loan Calculator'!Header_Row+'Loan Calculator'!Number_of_Payments,'Loan Calculator'!Header_Row)</definedName>
    <definedName name="Loan_Amount" localSheetId="3">'Loan Calculator'!$E$17</definedName>
    <definedName name="Loan_Not_Paid" localSheetId="3">IF('Loan Calculator'!Payment_Number&lt;='Loan Calculator'!Number_of_Payments,1,0)</definedName>
    <definedName name="Loan_Start" localSheetId="3">'Loan Calculator'!$E$20</definedName>
    <definedName name="Loan_Years" localSheetId="3">'Loan Calculator'!$E$19</definedName>
    <definedName name="Monthly_Payment" localSheetId="3">-PMT('Loan Calculator'!Interest_Rate/12,'Loan Calculator'!Number_of_Payments,'Loan Calculator'!Loan_Amount)</definedName>
    <definedName name="Number_of_Payments" localSheetId="3">'Loan Calculator'!$E$22</definedName>
    <definedName name="Payment_Date" localSheetId="3">DATE(YEAR('Loan Calculator'!Loan_Start),MONTH('Loan Calculator'!Loan_Start)+'Loan Calculator'!Payment_Number,DAY('Loan Calculator'!Loan_Start))</definedName>
    <definedName name="Payment_Number" localSheetId="3">ROW()-'Loan Calculator'!Header_Row</definedName>
    <definedName name="Principal" localSheetId="3">-PPMT('Loan Calculator'!Interest_Rate/12,'Loan Calculator'!Payment_Number,'Loan Calculator'!Number_of_Payments,'Loan Calculator'!Loan_Amount)</definedName>
    <definedName name="RowTitleRegion1..E6" localSheetId="3">'Loan Calculator'!$B$17</definedName>
    <definedName name="RowTitleRegion2..E11" localSheetId="3">'Loan Calculator'!$B$22</definedName>
    <definedName name="Total_Cost" localSheetId="3">'Loan Calculator'!$E$24</definedName>
    <definedName name="Total_Interest" localSheetId="3">'Loan Calculator'!$E$23</definedName>
    <definedName name="Values_Entered" localSheetId="3">IF('Loan Calculator'!Loan_Amount*'Loan Calculator'!Interest_Rate*'Loan Calculator'!Loan_Years*'Loan Calculator'!Loan_Start&gt;0,1,0)</definedName>
    <definedName name="_xlnm.Print_Titles" localSheetId="3">'Loan Calculator'!$26:$26</definedName>
    <definedName name="_xlnm.Print_Area" localSheetId="4">'2 Personal Survival Budget(PSB)'!$A$1:$H$67</definedName>
    <definedName name="_xlnm.Print_Area" localSheetId="5">'3 Sales Assumptions(SA)'!$A$1:$K$78</definedName>
    <definedName name="_xlnm.Print_Area" localSheetId="6">'4 Cash Flow Forecast(CFF)'!$A$1:$R$80</definedName>
    <definedName name="_xlnm.Print_Area" localSheetId="7">'1 Actual Cash Flows'!$A$1:$L$56</definedName>
    <definedName name="Beginning_Balance" localSheetId="8">-FV('Excel Tips'!Interest_Rate/12,'Excel Tips'!Payment_Number-1,-'Excel Tips'!Monthly_Payment,'Excel Tips'!Loan_Amount)</definedName>
    <definedName name="ColumnTitle1" localSheetId="8">[1]!Loan[[#Headers],[No.]]</definedName>
    <definedName name="Ending_Balance" localSheetId="8">-FV('Excel Tips'!Interest_Rate/12,'Excel Tips'!Payment_Number,-'Excel Tips'!Monthly_Payment,'Excel Tips'!Loan_Amount)</definedName>
    <definedName name="Header_Row" localSheetId="8">ROW('[1]Loan Calculator'!$14:$14)</definedName>
    <definedName name="Header_Row_Back" localSheetId="8">ROW('[1]Loan Calculator'!$14:$14)</definedName>
    <definedName name="Interest" localSheetId="8">-IPMT('Excel Tips'!Interest_Rate/12,'Excel Tips'!Payment_Number,'Excel Tips'!Number_of_Payments,'Excel Tips'!Loan_Amount)</definedName>
    <definedName name="Interest_Rate" localSheetId="8">'[1]Loan Calculator'!$E$6</definedName>
    <definedName name="Last_Row" localSheetId="8">IF('Excel Tips'!Values_Entered,'Excel Tips'!Header_Row+'Excel Tips'!Number_of_Payments,'Excel Tips'!Header_Row)</definedName>
    <definedName name="Loan_Amount" localSheetId="8">'[1]Loan Calculator'!$E$5</definedName>
    <definedName name="Loan_Not_Paid" localSheetId="8">IF('Excel Tips'!Payment_Number&lt;='Excel Tips'!Number_of_Payments,1,0)</definedName>
    <definedName name="Loan_Start" localSheetId="8">'[1]Loan Calculator'!$E$8</definedName>
    <definedName name="Loan_Years" localSheetId="8">'[1]Loan Calculator'!$E$7</definedName>
    <definedName name="Monthly_Payment" localSheetId="8">-PMT('Excel Tips'!Interest_Rate/12,'Excel Tips'!Number_of_Payments,'Excel Tips'!Loan_Amount)</definedName>
    <definedName name="Number_of_Payments" localSheetId="8">'[1]Loan Calculator'!$E$11</definedName>
    <definedName name="Payment_Date" localSheetId="8">DATE(YEAR('Excel Tips'!Loan_Start),MONTH('Excel Tips'!Loan_Start)+'Excel Tips'!Payment_Number,DAY('Excel Tips'!Loan_Start))</definedName>
    <definedName name="Payment_Number" localSheetId="8">ROW()-'Excel Tips'!Header_Row</definedName>
    <definedName name="Principal" localSheetId="8">-PPMT('Excel Tips'!Interest_Rate/12,'Excel Tips'!Payment_Number,'Excel Tips'!Number_of_Payments,'Excel Tips'!Loan_Amount)</definedName>
    <definedName name="Total_Cost" localSheetId="8">'[1]Loan Calculator'!$E$13</definedName>
    <definedName name="Values_Entered" localSheetId="8">IF('Excel Tips'!Loan_Amount*'Excel Tips'!Interest_Rate*'Excel Tips'!Loan_Years*'Excel Tips'!Loan_Start&gt;0,1,0)</definedName>
    <definedName name="_xlnm.Print_Area" localSheetId="8">'Excel Tips'!$A$1:$O$6</definedName>
  </definedNames>
  <calcPr calcId="191028" fullCalcOnLoad="1"/>
</workbook>
</file>

<file path=xl/styles.xml><?xml version="1.0" encoding="utf-8"?>
<styleSheet xmlns="http://schemas.openxmlformats.org/spreadsheetml/2006/main">
  <numFmts count="8">
    <numFmt numFmtId="164" formatCode="_-* #,##0_-;\-* #,##0_-;_-* &quot;-&quot;??_-;_-@_-"/>
    <numFmt numFmtId="165" formatCode="&quot;£&quot;#,##0;[Red]\-&quot;£&quot;#,##0"/>
    <numFmt numFmtId="166" formatCode="&quot;£&quot;#,##0.00"/>
    <numFmt numFmtId="167" formatCode="&quot;£&quot;#,##0.00;[Red]\-&quot;£&quot;#,##0.00"/>
    <numFmt numFmtId="168" formatCode="_-&quot;£&quot;* #,##0.00_-;\-&quot;£&quot;* #,##0.00_-;_-&quot;£&quot;* &quot;-&quot;??_-;_-@_-"/>
    <numFmt numFmtId="169" formatCode="0.0"/>
    <numFmt numFmtId="170" formatCode="[$£-809]#,##0;&quot;-&quot;[$£-809]#,##0"/>
    <numFmt numFmtId="171" formatCode="0.0%"/>
  </numFmts>
  <fonts count="83">
    <font>
      <name val="Arial"/>
      <family val="2"/>
      <color theme="1"/>
      <sz val="11"/>
      <scheme val="minor"/>
    </font>
    <font>
      <name val="Arial"/>
      <family val="2"/>
      <color theme="1"/>
      <sz val="11"/>
    </font>
    <font>
      <name val="Arial"/>
      <family val="2"/>
      <color theme="1"/>
      <sz val="11"/>
    </font>
    <font>
      <name val="Arial"/>
      <family val="2"/>
      <color theme="1"/>
      <sz val="11"/>
    </font>
    <font>
      <name val="Arial"/>
      <family val="2"/>
      <color theme="1"/>
      <sz val="11"/>
      <scheme val="minor"/>
    </font>
    <font>
      <name val="Arial"/>
      <family val="2"/>
      <color theme="1"/>
      <sz val="11"/>
    </font>
    <font>
      <name val="Arial"/>
      <family val="2"/>
      <b val="1"/>
      <sz val="11"/>
    </font>
    <font>
      <name val="Arial"/>
      <family val="2"/>
      <b val="1"/>
      <color theme="1"/>
      <sz val="11"/>
    </font>
    <font>
      <name val="Arial"/>
      <family val="2"/>
      <b val="1"/>
      <sz val="11"/>
      <u val="single"/>
    </font>
    <font>
      <name val="Arial"/>
      <family val="2"/>
      <sz val="11"/>
    </font>
    <font>
      <name val="Arial"/>
      <family val="2"/>
      <b val="1"/>
      <sz val="16"/>
    </font>
    <font>
      <name val="Arial"/>
      <family val="2"/>
      <b val="1"/>
      <sz val="14"/>
    </font>
    <font>
      <name val="Arial"/>
      <family val="2"/>
      <b val="1"/>
      <color theme="1"/>
      <sz val="14"/>
    </font>
    <font>
      <name val="Arial"/>
      <family val="2"/>
      <b val="1"/>
      <sz val="12"/>
    </font>
    <font>
      <name val="Arial"/>
      <family val="2"/>
      <b val="1"/>
      <color theme="1"/>
      <sz val="10"/>
    </font>
    <font>
      <name val="Arial"/>
      <family val="2"/>
      <color theme="1"/>
      <sz val="10"/>
    </font>
    <font>
      <name val="Arial"/>
      <family val="2"/>
      <color theme="1"/>
      <sz val="14"/>
    </font>
    <font>
      <name val="Arial"/>
      <family val="2"/>
      <b val="1"/>
      <color theme="0"/>
      <sz val="11"/>
    </font>
    <font>
      <name val="Arial"/>
      <family val="2"/>
      <b val="1"/>
      <color theme="0"/>
      <sz val="12"/>
    </font>
    <font>
      <name val="Arial"/>
      <family val="2"/>
      <b val="1"/>
      <color theme="0"/>
      <sz val="14"/>
    </font>
    <font>
      <name val="Arial"/>
      <family val="2"/>
      <b val="1"/>
      <color indexed="81"/>
      <sz val="10"/>
    </font>
    <font>
      <name val="Arial"/>
      <family val="2"/>
      <color indexed="81"/>
      <sz val="10"/>
    </font>
    <font>
      <name val="Arial"/>
      <family val="2"/>
      <i val="1"/>
      <color indexed="81"/>
      <sz val="10"/>
    </font>
    <font>
      <name val="Arial"/>
      <family val="2"/>
      <b val="1"/>
      <sz val="22"/>
    </font>
    <font>
      <name val="Arial"/>
      <family val="2"/>
      <sz val="10"/>
    </font>
    <font>
      <name val="Arial"/>
      <family val="2"/>
      <b val="1"/>
      <sz val="10"/>
    </font>
    <font>
      <name val="Arial"/>
      <family val="2"/>
      <i val="1"/>
      <sz val="11"/>
    </font>
    <font>
      <name val="Arial"/>
      <family val="2"/>
      <b val="1"/>
      <color rgb="FFFFFFFF"/>
      <sz val="14"/>
    </font>
    <font>
      <name val="Arial"/>
      <family val="2"/>
      <color rgb="FFFFFFFF"/>
      <sz val="14"/>
      <scheme val="minor"/>
    </font>
    <font>
      <name val="Tahoma"/>
      <family val="2"/>
      <color indexed="81"/>
      <sz val="9"/>
    </font>
    <font>
      <name val="Arial"/>
      <family val="2"/>
      <color indexed="81"/>
      <sz val="9"/>
    </font>
    <font>
      <name val="Arial"/>
      <family val="2"/>
      <sz val="16"/>
      <scheme val="major"/>
    </font>
    <font>
      <name val="Arial"/>
      <family val="2"/>
      <sz val="11"/>
      <scheme val="minor"/>
    </font>
    <font>
      <name val="Arial"/>
      <family val="2"/>
      <i val="1"/>
      <sz val="12"/>
    </font>
    <font>
      <name val="Tahoma"/>
      <family val="2"/>
      <b val="1"/>
      <color indexed="81"/>
      <sz val="9"/>
    </font>
    <font>
      <name val="Arial"/>
      <family val="2"/>
      <b val="1"/>
      <color theme="0"/>
      <sz val="10"/>
    </font>
    <font>
      <name val="Arial"/>
      <family val="2"/>
      <color rgb="FF142855"/>
      <sz val="14"/>
    </font>
    <font>
      <name val="Arial"/>
      <family val="2"/>
      <b val="1"/>
      <color rgb="FF142855"/>
      <sz val="14"/>
    </font>
    <font>
      <name val="Arial"/>
      <family val="2"/>
      <color rgb="FF142855"/>
      <sz val="11"/>
    </font>
    <font>
      <name val="Arial"/>
      <family val="2"/>
      <color theme="0"/>
      <sz val="11"/>
    </font>
    <font>
      <name val="Arial"/>
      <family val="2"/>
      <b val="1"/>
      <color rgb="FF142855"/>
      <sz val="18"/>
    </font>
    <font>
      <name val="Arial"/>
      <family val="2"/>
      <b val="1"/>
      <color rgb="FF142855"/>
      <sz val="22"/>
    </font>
    <font>
      <name val="Arial"/>
      <family val="2"/>
      <color rgb="FF002060"/>
      <sz val="11"/>
    </font>
    <font>
      <name val="Arial"/>
      <family val="2"/>
      <b val="1"/>
      <color rgb="FF002060"/>
      <sz val="11"/>
    </font>
    <font>
      <name val="Arial"/>
      <family val="2"/>
      <b val="1"/>
      <color rgb="FF142855"/>
      <sz val="10"/>
    </font>
    <font>
      <name val="Arial"/>
      <family val="2"/>
      <color rgb="FF142855"/>
      <sz val="14"/>
      <u val="single"/>
    </font>
    <font>
      <name val="Arial"/>
      <family val="2"/>
      <b val="1"/>
      <color rgb="FF142855"/>
      <sz val="11"/>
    </font>
    <font>
      <name val="Arial"/>
      <family val="2"/>
      <b val="1"/>
      <color rgb="FF142855"/>
      <sz val="24"/>
      <scheme val="minor"/>
    </font>
    <font>
      <name val="Arial"/>
      <family val="2"/>
      <color rgb="FF142855"/>
      <sz val="14"/>
      <scheme val="minor"/>
    </font>
    <font>
      <name val="Arial"/>
      <family val="2"/>
      <color theme="1"/>
      <sz val="14"/>
      <scheme val="minor"/>
    </font>
    <font>
      <name val="Arial"/>
      <family val="2"/>
      <b val="1"/>
      <color theme="1"/>
      <sz val="24"/>
      <scheme val="minor"/>
    </font>
    <font>
      <name val="Arial"/>
      <family val="2"/>
      <color theme="1"/>
      <sz val="12"/>
      <scheme val="minor"/>
    </font>
    <font>
      <name val="Arial"/>
      <family val="2"/>
      <color rgb="FFFF0000"/>
      <sz val="15"/>
      <scheme val="minor"/>
    </font>
    <font>
      <name val="Arial"/>
      <family val="2"/>
      <color rgb="FFFF0000"/>
      <sz val="11"/>
      <scheme val="minor"/>
    </font>
    <font>
      <name val="Arial"/>
      <family val="2"/>
      <color theme="1"/>
      <sz val="13"/>
      <scheme val="minor"/>
    </font>
    <font>
      <name val="Arial"/>
      <family val="2"/>
      <b val="1"/>
      <color rgb="FF142855"/>
      <sz val="14"/>
      <scheme val="minor"/>
    </font>
    <font>
      <name val="Arial"/>
      <family val="2"/>
      <color rgb="FF142855"/>
      <sz val="11"/>
      <scheme val="minor"/>
    </font>
    <font>
      <name val="Arial"/>
      <family val="2"/>
      <i val="1"/>
      <color rgb="FF142855"/>
      <sz val="11"/>
      <scheme val="minor"/>
    </font>
    <font>
      <name val="Arial"/>
      <family val="2"/>
      <color theme="4"/>
      <sz val="11"/>
      <scheme val="minor"/>
    </font>
    <font>
      <name val="Arial"/>
      <family val="2"/>
      <b val="1"/>
      <color theme="4"/>
      <sz val="11"/>
    </font>
    <font>
      <name val="Arial"/>
      <family val="2"/>
      <color theme="4"/>
      <sz val="10"/>
    </font>
    <font>
      <name val="Arial"/>
      <family val="2"/>
      <b val="1"/>
      <color theme="4"/>
      <sz val="10"/>
    </font>
    <font>
      <name val="Arial"/>
      <family val="2"/>
      <b val="1"/>
      <color theme="4"/>
      <sz val="16"/>
    </font>
    <font>
      <name val="Arial"/>
      <family val="2"/>
      <i val="1"/>
      <color theme="4"/>
      <sz val="12"/>
    </font>
    <font>
      <name val="Arial"/>
      <family val="2"/>
      <color theme="4"/>
      <sz val="11"/>
    </font>
    <font>
      <name val="Arial"/>
      <family val="2"/>
      <b val="1"/>
      <color theme="4"/>
      <sz val="18"/>
      <scheme val="minor"/>
    </font>
    <font>
      <name val="Arial"/>
      <family val="2"/>
      <i val="1"/>
      <color theme="4"/>
      <sz val="10"/>
    </font>
    <font>
      <name val="Arial"/>
      <family val="2"/>
      <sz val="8"/>
      <scheme val="minor"/>
    </font>
    <font>
      <name val="Times New Roman"/>
      <family val="1"/>
      <color theme="4"/>
      <sz val="7"/>
    </font>
    <font>
      <name val="Symbol"/>
      <charset val="2"/>
      <family val="1"/>
      <color theme="4"/>
      <sz val="10"/>
    </font>
    <font>
      <name val="Times New Roman"/>
      <family val="1"/>
      <b val="1"/>
      <color theme="4"/>
      <sz val="7"/>
    </font>
    <font>
      <name val="Arial"/>
      <family val="2"/>
      <b val="1"/>
      <i val="1"/>
      <color theme="4"/>
      <sz val="11"/>
    </font>
    <font>
      <name val="Arial"/>
      <family val="2"/>
      <b val="1"/>
      <color rgb="FFFFFFFF"/>
      <sz val="9"/>
    </font>
    <font>
      <name val="Arial"/>
      <family val="2"/>
      <b val="1"/>
      <color rgb="FFFFFFFF"/>
      <sz val="12"/>
    </font>
    <font>
      <name val="Arial"/>
      <family val="2"/>
      <color theme="4"/>
      <sz val="14"/>
      <scheme val="minor"/>
    </font>
    <font>
      <name val="Arial"/>
      <family val="2"/>
      <b val="1"/>
      <color rgb="FF142855"/>
      <sz val="11"/>
      <scheme val="minor"/>
    </font>
    <font>
      <name val="Arial"/>
      <family val="2"/>
      <b val="1"/>
      <color theme="0"/>
      <sz val="16"/>
      <scheme val="minor"/>
    </font>
    <font>
      <name val="Arial"/>
      <family val="2"/>
      <color theme="4"/>
      <sz val="10"/>
      <scheme val="minor"/>
    </font>
    <font>
      <name val="Arial"/>
      <family val="2"/>
      <b val="1"/>
      <color theme="4"/>
      <sz val="14"/>
    </font>
    <font>
      <name val="Arial"/>
      <family val="2"/>
      <b val="1"/>
      <color theme="4"/>
      <sz val="22"/>
    </font>
    <font>
      <name val="Arial"/>
      <family val="2"/>
      <color theme="4"/>
      <sz val="16"/>
    </font>
    <font>
      <name val="Arial"/>
      <family val="2"/>
      <b val="1"/>
      <color theme="4"/>
      <sz val="12"/>
    </font>
    <font>
      <name val="Helvetica"/>
      <color indexed="8"/>
      <sz val="11"/>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rgb="FFD9D9D9"/>
        <bgColor indexed="64"/>
      </patternFill>
    </fill>
    <fill>
      <patternFill patternType="solid">
        <fgColor rgb="FF142855"/>
        <bgColor indexed="64"/>
      </patternFill>
    </fill>
    <fill>
      <patternFill patternType="solid">
        <fgColor rgb="FF50C5A7"/>
        <bgColor indexed="64"/>
      </patternFill>
    </fill>
    <fill>
      <patternFill patternType="solid">
        <fgColor rgb="FF55C0FF"/>
        <bgColor indexed="64"/>
      </patternFill>
    </fill>
    <fill>
      <patternFill patternType="solid">
        <fgColor rgb="FFFFA0B4"/>
        <bgColor indexed="64"/>
      </patternFill>
    </fill>
    <fill>
      <patternFill patternType="solid">
        <fgColor rgb="FF7E89C1"/>
        <bgColor indexed="64"/>
      </patternFill>
    </fill>
    <fill>
      <patternFill patternType="solid">
        <fgColor rgb="FF3C3786"/>
        <bgColor indexed="64"/>
      </patternFill>
    </fill>
    <fill>
      <patternFill patternType="solid">
        <fgColor theme="6"/>
        <bgColor indexed="64"/>
      </patternFill>
    </fill>
    <fill>
      <patternFill patternType="solid">
        <fgColor theme="4"/>
        <bgColor indexed="64"/>
      </patternFill>
    </fill>
    <fill>
      <patternFill patternType="solid">
        <fgColor theme="7"/>
        <bgColor indexed="64"/>
      </patternFill>
    </fill>
  </fills>
  <borders count="224">
    <border>
      <left/>
      <right/>
      <top/>
      <bottom/>
      <diagonal/>
    </border>
    <border>
      <left/>
      <right/>
      <top/>
      <bottom style="double">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style="thin">
        <color theme="1" tint="0.3499862666707358"/>
      </right>
      <top style="thin">
        <color theme="1" tint="0.3499862666707358"/>
      </top>
      <bottom style="thin">
        <color theme="1" tint="0.3499862666707358"/>
      </bottom>
      <diagonal/>
    </border>
    <border>
      <left/>
      <right/>
      <top style="double">
        <color auto="1"/>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3499862666707358"/>
      </top>
      <bottom style="thin">
        <color theme="1" tint="0.499984740745262"/>
      </bottom>
      <diagonal/>
    </border>
    <border>
      <left/>
      <right/>
      <top/>
      <bottom style="medium">
        <color theme="1" tint="0.499984740745262"/>
      </bottom>
      <diagonal/>
    </border>
    <border>
      <left/>
      <right style="thin">
        <color theme="1" tint="0.3499862666707358"/>
      </right>
      <top/>
      <bottom style="thin">
        <color theme="1" tint="0.499984740745262"/>
      </bottom>
      <diagonal/>
    </border>
    <border>
      <left/>
      <right/>
      <top style="thin">
        <color theme="1" tint="0.3499862666707358"/>
      </top>
      <bottom style="thin">
        <color theme="1" tint="0.499984740745262"/>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thin">
        <color theme="1" tint="0.499984740745262"/>
      </left>
      <right style="thin">
        <color theme="1" tint="0.499984740745262"/>
      </right>
      <top style="thin">
        <color auto="1"/>
      </top>
      <bottom style="thin">
        <color theme="1" tint="0.499984740745262"/>
      </bottom>
      <diagonal/>
    </border>
    <border>
      <left/>
      <right/>
      <top/>
      <bottom style="hair">
        <color theme="1" tint="0.499984740745262"/>
      </bottom>
      <diagonal/>
    </border>
    <border>
      <left/>
      <right style="thin">
        <color theme="0"/>
      </right>
      <top/>
      <bottom/>
      <diagonal/>
    </border>
    <border>
      <left style="thin">
        <color theme="0"/>
      </left>
      <right style="thin">
        <color theme="0"/>
      </right>
      <top/>
      <bottom style="double">
        <color indexed="64"/>
      </bottom>
      <diagonal/>
    </border>
    <border>
      <left style="thin">
        <color theme="0"/>
      </left>
      <right style="thin">
        <color theme="0"/>
      </right>
      <top/>
      <bottom/>
      <diagonal/>
    </border>
    <border>
      <left style="thin">
        <color theme="0"/>
      </left>
      <right/>
      <top/>
      <bottom/>
      <diagonal/>
    </border>
    <border>
      <left/>
      <right style="thin">
        <color theme="0"/>
      </right>
      <top/>
      <bottom style="thin">
        <color theme="0"/>
      </bottom>
      <diagonal/>
    </border>
    <border>
      <left/>
      <right/>
      <top/>
      <bottom style="thin">
        <color theme="0"/>
      </bottom>
      <diagonal/>
    </border>
    <border>
      <left style="thin">
        <color theme="1" tint="0.3499862666707358"/>
      </left>
      <right/>
      <top style="thin">
        <color theme="1" tint="0.3499862666707358"/>
      </top>
      <bottom style="thin">
        <color theme="1" tint="0.3499862666707358"/>
      </bottom>
      <diagonal/>
    </border>
    <border>
      <left style="thin">
        <color theme="0"/>
      </left>
      <right style="thin">
        <color theme="0"/>
      </right>
      <top style="thin">
        <color theme="0"/>
      </top>
      <bottom style="double">
        <color indexed="64"/>
      </bottom>
      <diagonal/>
    </border>
    <border>
      <left style="thin">
        <color theme="1" tint="0.499984740745262"/>
      </left>
      <right/>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top/>
      <bottom style="double">
        <color rgb="FF000000"/>
      </bottom>
      <diagonal/>
    </border>
    <border>
      <left style="medium">
        <color rgb="FFA89497"/>
      </left>
      <right style="medium">
        <color rgb="FFA89497"/>
      </right>
      <top style="medium">
        <color rgb="FFA89497"/>
      </top>
      <bottom style="medium">
        <color rgb="FFA89497"/>
      </bottom>
      <diagonal/>
    </border>
    <border>
      <left style="medium">
        <color rgb="FFA89497"/>
      </left>
      <right/>
      <top style="medium">
        <color rgb="FFA89497"/>
      </top>
      <bottom/>
      <diagonal/>
    </border>
    <border>
      <left/>
      <right/>
      <top style="medium">
        <color rgb="FFA89497"/>
      </top>
      <bottom/>
      <diagonal/>
    </border>
    <border>
      <left/>
      <right style="medium">
        <color rgb="FFA89497"/>
      </right>
      <top style="medium">
        <color rgb="FFA89497"/>
      </top>
      <bottom/>
      <diagonal/>
    </border>
    <border>
      <left style="medium">
        <color rgb="FFA89497"/>
      </left>
      <right/>
      <top/>
      <bottom/>
      <diagonal/>
    </border>
    <border>
      <left/>
      <right style="medium">
        <color rgb="FFA89497"/>
      </right>
      <top/>
      <bottom/>
      <diagonal/>
    </border>
    <border>
      <left style="medium">
        <color rgb="FFA89497"/>
      </left>
      <right/>
      <top/>
      <bottom style="medium">
        <color rgb="FFA89497"/>
      </bottom>
      <diagonal/>
    </border>
    <border>
      <left/>
      <right/>
      <top/>
      <bottom style="medium">
        <color rgb="FFA89497"/>
      </bottom>
      <diagonal/>
    </border>
    <border>
      <left/>
      <right style="medium">
        <color rgb="FFA89497"/>
      </right>
      <top/>
      <bottom style="medium">
        <color rgb="FFA89497"/>
      </bottom>
      <diagonal/>
    </border>
    <border>
      <left style="medium">
        <color indexed="64"/>
      </left>
      <right style="medium">
        <color rgb="FFA89497"/>
      </right>
      <top style="medium">
        <color indexed="64"/>
      </top>
      <bottom style="medium">
        <color indexed="64"/>
      </bottom>
      <diagonal/>
    </border>
    <border>
      <left style="thin">
        <color indexed="64"/>
      </left>
      <right style="medium">
        <color rgb="FFA89497"/>
      </right>
      <top/>
      <bottom style="thin">
        <color indexed="64"/>
      </bottom>
      <diagonal/>
    </border>
    <border>
      <left style="thin">
        <color indexed="64"/>
      </left>
      <right style="medium">
        <color rgb="FFA89497"/>
      </right>
      <top style="thin">
        <color indexed="64"/>
      </top>
      <bottom style="thin">
        <color indexed="64"/>
      </bottom>
      <diagonal/>
    </border>
    <border>
      <left style="thin">
        <color indexed="64"/>
      </left>
      <right style="medium">
        <color rgb="FFA89497"/>
      </right>
      <top style="thin">
        <color indexed="64"/>
      </top>
      <bottom style="medium">
        <color rgb="FFA89497"/>
      </bottom>
      <diagonal/>
    </border>
    <border>
      <left style="medium">
        <color rgb="FFA89497"/>
      </left>
      <right style="thin">
        <color theme="1" tint="0.3499862666707358"/>
      </right>
      <top style="medium">
        <color rgb="FFA89497"/>
      </top>
      <bottom/>
      <diagonal/>
    </border>
    <border>
      <left style="thin">
        <color theme="1" tint="0.3499862666707358"/>
      </left>
      <right style="thin">
        <color theme="1" tint="0.3499862666707358"/>
      </right>
      <top style="medium">
        <color rgb="FFA89497"/>
      </top>
      <bottom/>
      <diagonal/>
    </border>
    <border>
      <left style="thin">
        <color theme="1" tint="0.3499862666707358"/>
      </left>
      <right style="medium">
        <color rgb="FFA89497"/>
      </right>
      <top style="medium">
        <color rgb="FFA89497"/>
      </top>
      <bottom/>
      <diagonal/>
    </border>
    <border>
      <left style="medium">
        <color rgb="FFA89497"/>
      </left>
      <right style="thin">
        <color theme="1" tint="0.499984740745262"/>
      </right>
      <top style="thin">
        <color theme="1" tint="0.499984740745262"/>
      </top>
      <bottom style="thin">
        <color theme="1" tint="0.499984740745262"/>
      </bottom>
      <diagonal/>
    </border>
    <border>
      <left style="thin">
        <color theme="1" tint="0.499984740745262"/>
      </left>
      <right style="medium">
        <color rgb="FFA89497"/>
      </right>
      <top style="thin">
        <color theme="1" tint="0.499984740745262"/>
      </top>
      <bottom style="thin">
        <color theme="1" tint="0.499984740745262"/>
      </bottom>
      <diagonal/>
    </border>
    <border>
      <left style="medium">
        <color rgb="FFA89497"/>
      </left>
      <right style="thin">
        <color theme="1" tint="0.499984740745262"/>
      </right>
      <top style="thin">
        <color theme="1" tint="0.499984740745262"/>
      </top>
      <bottom/>
      <diagonal/>
    </border>
    <border>
      <left style="thin">
        <color theme="1" tint="0.499984740745262"/>
      </left>
      <right style="medium">
        <color rgb="FFA89497"/>
      </right>
      <top/>
      <bottom/>
      <diagonal/>
    </border>
    <border>
      <left style="medium">
        <color rgb="FFA89497"/>
      </left>
      <right style="thin">
        <color theme="1" tint="0.499984740745262"/>
      </right>
      <top/>
      <bottom style="thin">
        <color theme="1" tint="0.499984740745262"/>
      </bottom>
      <diagonal/>
    </border>
    <border>
      <left style="thin">
        <color theme="1" tint="0.499984740745262"/>
      </left>
      <right style="medium">
        <color rgb="FFA89497"/>
      </right>
      <top/>
      <bottom style="thin">
        <color theme="1" tint="0.499984740745262"/>
      </bottom>
      <diagonal/>
    </border>
    <border>
      <left style="medium">
        <color rgb="FFA89497"/>
      </left>
      <right style="thin">
        <color theme="1" tint="0.499984740745262"/>
      </right>
      <top/>
      <bottom/>
      <diagonal/>
    </border>
    <border>
      <left style="medium">
        <color rgb="FFA89497"/>
      </left>
      <right style="thin">
        <color theme="1" tint="0.499984740745262"/>
      </right>
      <top style="thin">
        <color theme="1" tint="0.249977111117893"/>
      </top>
      <bottom style="medium">
        <color rgb="FFA89497"/>
      </bottom>
      <diagonal/>
    </border>
    <border>
      <left style="medium">
        <color rgb="FFA89497"/>
      </left>
      <right style="thin">
        <color indexed="64"/>
      </right>
      <top style="medium">
        <color rgb="FFA89497"/>
      </top>
      <bottom style="medium">
        <color rgb="FFA89497"/>
      </bottom>
      <diagonal/>
    </border>
    <border>
      <left style="thin">
        <color indexed="64"/>
      </left>
      <right style="thin">
        <color indexed="64"/>
      </right>
      <top style="medium">
        <color rgb="FFA89497"/>
      </top>
      <bottom style="medium">
        <color rgb="FFA89497"/>
      </bottom>
      <diagonal/>
    </border>
    <border>
      <left style="thin">
        <color indexed="64"/>
      </left>
      <right style="thin">
        <color theme="1" tint="0.499984740745262"/>
      </right>
      <top style="medium">
        <color rgb="FFA89497"/>
      </top>
      <bottom style="medium">
        <color rgb="FFA89497"/>
      </bottom>
      <diagonal/>
    </border>
    <border>
      <left/>
      <right style="medium">
        <color rgb="FFA89497"/>
      </right>
      <top style="medium">
        <color rgb="FFA89497"/>
      </top>
      <bottom style="medium">
        <color rgb="FFA89497"/>
      </bottom>
      <diagonal/>
    </border>
    <border>
      <left style="medium">
        <color rgb="FFA89497"/>
      </left>
      <right style="medium">
        <color rgb="FFA89497"/>
      </right>
      <top style="medium">
        <color rgb="FFA89497"/>
      </top>
      <bottom style="thin">
        <color theme="1" tint="0.3499862666707358"/>
      </bottom>
      <diagonal/>
    </border>
    <border>
      <left style="medium">
        <color rgb="FFA89497"/>
      </left>
      <right style="medium">
        <color rgb="FFA89497"/>
      </right>
      <top style="thin">
        <color theme="1" tint="0.3499862666707358"/>
      </top>
      <bottom style="thin">
        <color theme="1" tint="0.499984740745262"/>
      </bottom>
      <diagonal/>
    </border>
    <border>
      <left style="medium">
        <color rgb="FFA89497"/>
      </left>
      <right style="medium">
        <color rgb="FFA89497"/>
      </right>
      <top style="thin">
        <color theme="1" tint="0.499984740745262"/>
      </top>
      <bottom style="thin">
        <color theme="1" tint="0.499984740745262"/>
      </bottom>
      <diagonal/>
    </border>
    <border>
      <left style="medium">
        <color rgb="FFA89497"/>
      </left>
      <right style="medium">
        <color rgb="FFA89497"/>
      </right>
      <top/>
      <bottom/>
      <diagonal/>
    </border>
    <border>
      <left style="medium">
        <color rgb="FFA89497"/>
      </left>
      <right style="medium">
        <color rgb="FFA89497"/>
      </right>
      <top style="thin">
        <color theme="1" tint="0.499984740745262"/>
      </top>
      <bottom/>
      <diagonal/>
    </border>
    <border>
      <left style="medium">
        <color rgb="FFA89497"/>
      </left>
      <right style="medium">
        <color rgb="FFA89497"/>
      </right>
      <top/>
      <bottom style="medium">
        <color rgb="FFA89497"/>
      </bottom>
      <diagonal/>
    </border>
    <border>
      <left style="medium">
        <color rgb="FFA89497"/>
      </left>
      <right style="thin">
        <color theme="1" tint="0.499984740745262"/>
      </right>
      <top style="medium">
        <color rgb="FFA89497"/>
      </top>
      <bottom style="thin">
        <color theme="1" tint="0.3499862666707358"/>
      </bottom>
      <diagonal/>
    </border>
    <border>
      <left/>
      <right style="thin">
        <color theme="1" tint="0.3499862666707358"/>
      </right>
      <top style="medium">
        <color rgb="FFA89497"/>
      </top>
      <bottom style="thin">
        <color theme="1" tint="0.3499862666707358"/>
      </bottom>
      <diagonal/>
    </border>
    <border>
      <left style="thin">
        <color theme="1" tint="0.3499862666707358"/>
      </left>
      <right style="thin">
        <color theme="1" tint="0.499984740745262"/>
      </right>
      <top style="medium">
        <color rgb="FFA89497"/>
      </top>
      <bottom style="thin">
        <color theme="1" tint="0.3499862666707358"/>
      </bottom>
      <diagonal/>
    </border>
    <border>
      <left/>
      <right style="medium">
        <color rgb="FFA89497"/>
      </right>
      <top style="medium">
        <color rgb="FFA89497"/>
      </top>
      <bottom style="thin">
        <color theme="1" tint="0.3499862666707358"/>
      </bottom>
      <diagonal/>
    </border>
    <border>
      <left style="medium">
        <color rgb="FFA89497"/>
      </left>
      <right style="thin">
        <color theme="1" tint="0.499984740745262"/>
      </right>
      <top style="thin">
        <color theme="1" tint="0.3499862666707358"/>
      </top>
      <bottom style="thin">
        <color theme="1" tint="0.499984740745262"/>
      </bottom>
      <diagonal/>
    </border>
    <border>
      <left/>
      <right style="medium">
        <color rgb="FFA89497"/>
      </right>
      <top style="thin">
        <color theme="1" tint="0.3499862666707358"/>
      </top>
      <bottom style="thin">
        <color theme="1" tint="0.499984740745262"/>
      </bottom>
      <diagonal/>
    </border>
    <border>
      <left style="medium">
        <color rgb="FFA89497"/>
      </left>
      <right style="thin">
        <color theme="1" tint="0.499984740745262"/>
      </right>
      <top/>
      <bottom style="thin">
        <color theme="1" tint="0.3499862666707358"/>
      </bottom>
      <diagonal/>
    </border>
    <border>
      <left style="medium">
        <color rgb="FFA89497"/>
      </left>
      <right style="thin">
        <color theme="1" tint="0.499984740745262"/>
      </right>
      <top style="thin">
        <color theme="1" tint="0.3499862666707358"/>
      </top>
      <bottom style="thin">
        <color theme="1" tint="0.3499862666707358"/>
      </bottom>
      <diagonal/>
    </border>
    <border>
      <left style="medium">
        <color rgb="FFA89497"/>
      </left>
      <right style="thin">
        <color theme="1" tint="0.499984740745262"/>
      </right>
      <top/>
      <bottom style="medium">
        <color rgb="FFA89497"/>
      </bottom>
      <diagonal/>
    </border>
    <border>
      <left/>
      <right style="thin">
        <color theme="1" tint="0.499984740745262"/>
      </right>
      <top/>
      <bottom style="medium">
        <color rgb="FFA89497"/>
      </bottom>
      <diagonal/>
    </border>
    <border>
      <left style="medium">
        <color rgb="FFA89497"/>
      </left>
      <right/>
      <top style="medium">
        <color rgb="FFA89497"/>
      </top>
      <bottom style="medium">
        <color rgb="FFA89497"/>
      </bottom>
      <diagonal/>
    </border>
    <border>
      <left/>
      <right/>
      <top style="medium">
        <color rgb="FFA89497"/>
      </top>
      <bottom style="medium">
        <color rgb="FFA89497"/>
      </bottom>
      <diagonal/>
    </border>
    <border>
      <left/>
      <right style="thin">
        <color theme="1" tint="0.3499862666707358"/>
      </right>
      <top style="medium">
        <color rgb="FFA89497"/>
      </top>
      <bottom style="medium">
        <color rgb="FFA89497"/>
      </bottom>
      <diagonal/>
    </border>
    <border>
      <left style="thin">
        <color theme="1" tint="0.3499862666707358"/>
      </left>
      <right style="medium">
        <color rgb="FFA89497"/>
      </right>
      <top style="medium">
        <color rgb="FFA89497"/>
      </top>
      <bottom style="medium">
        <color rgb="FFA89497"/>
      </bottom>
      <diagonal/>
    </border>
    <border>
      <left style="medium">
        <color rgb="FFA89497"/>
      </left>
      <right style="medium">
        <color rgb="FFA89497"/>
      </right>
      <top/>
      <bottom style="thin">
        <color theme="1" tint="0.499984740745262"/>
      </bottom>
      <diagonal/>
    </border>
    <border>
      <left style="medium">
        <color rgb="FFA89497"/>
      </left>
      <right style="medium">
        <color rgb="FFA89497"/>
      </right>
      <top style="thin">
        <color theme="1" tint="0.499984740745262"/>
      </top>
      <bottom style="medium">
        <color rgb="FFA89497"/>
      </bottom>
      <diagonal/>
    </border>
    <border>
      <left style="medium">
        <color rgb="FFA89497"/>
      </left>
      <right/>
      <top style="thin">
        <color theme="1" tint="0.499984740745262"/>
      </top>
      <bottom/>
      <diagonal/>
    </border>
    <border>
      <left style="medium">
        <color rgb="FFA89497"/>
      </left>
      <right style="medium">
        <color rgb="FFA89497"/>
      </right>
      <top style="medium">
        <color rgb="FFA89497"/>
      </top>
      <bottom style="thin">
        <color indexed="64"/>
      </bottom>
      <diagonal/>
    </border>
    <border>
      <left style="thin">
        <color theme="1" tint="0.499984740745262"/>
      </left>
      <right style="medium">
        <color rgb="FFA89497"/>
      </right>
      <top style="medium">
        <color rgb="FFA89497"/>
      </top>
      <bottom style="medium">
        <color rgb="FFA89497"/>
      </bottom>
      <diagonal/>
    </border>
    <border>
      <left style="medium">
        <color rgb="FFA89497"/>
      </left>
      <right style="thin">
        <color theme="1" tint="0.499984740745262"/>
      </right>
      <top style="medium">
        <color rgb="FFA89497"/>
      </top>
      <bottom style="thin">
        <color theme="1" tint="0.499984740745262"/>
      </bottom>
      <diagonal/>
    </border>
    <border>
      <left style="thin">
        <color theme="1" tint="0.499984740745262"/>
      </left>
      <right style="thin">
        <color theme="1" tint="0.499984740745262"/>
      </right>
      <top style="medium">
        <color rgb="FFA89497"/>
      </top>
      <bottom style="thin">
        <color theme="1" tint="0.499984740745262"/>
      </bottom>
      <diagonal/>
    </border>
    <border>
      <left/>
      <right style="medium">
        <color rgb="FFA89497"/>
      </right>
      <top style="medium">
        <color rgb="FFA89497"/>
      </top>
      <bottom style="thin">
        <color theme="1" tint="0.499984740745262"/>
      </bottom>
      <diagonal/>
    </border>
    <border>
      <left/>
      <right style="medium">
        <color rgb="FFA89497"/>
      </right>
      <top style="thin">
        <color theme="1" tint="0.499984740745262"/>
      </top>
      <bottom style="thin">
        <color theme="1" tint="0.499984740745262"/>
      </bottom>
      <diagonal/>
    </border>
    <border>
      <left style="medium">
        <color rgb="FFA89497"/>
      </left>
      <right style="thin">
        <color theme="1" tint="0.499984740745262"/>
      </right>
      <top style="thin">
        <color theme="1" tint="0.499984740745262"/>
      </top>
      <bottom style="medium">
        <color rgb="FFA89497"/>
      </bottom>
      <diagonal/>
    </border>
    <border>
      <left style="thin">
        <color theme="1" tint="0.499984740745262"/>
      </left>
      <right style="thin">
        <color theme="1" tint="0.499984740745262"/>
      </right>
      <top style="thin">
        <color theme="1" tint="0.499984740745262"/>
      </top>
      <bottom style="medium">
        <color rgb="FFA89497"/>
      </bottom>
      <diagonal/>
    </border>
    <border>
      <left/>
      <right style="thin">
        <color theme="1" tint="0.499984740745262"/>
      </right>
      <top style="medium">
        <color rgb="FFA89497"/>
      </top>
      <bottom style="thin">
        <color theme="1" tint="0.499984740745262"/>
      </bottom>
      <diagonal/>
    </border>
    <border>
      <left/>
      <right style="thin">
        <color theme="1" tint="0.499984740745262"/>
      </right>
      <top style="thin">
        <color theme="1" tint="0.499984740745262"/>
      </top>
      <bottom style="medium">
        <color rgb="FFA89497"/>
      </bottom>
      <diagonal/>
    </border>
    <border>
      <left style="medium">
        <color rgb="FFA89497"/>
      </left>
      <right style="medium">
        <color rgb="FFA89497"/>
      </right>
      <top style="medium">
        <color rgb="FFA89497"/>
      </top>
      <bottom style="thin">
        <color theme="1" tint="0.499984740745262"/>
      </bottom>
      <diagonal/>
    </border>
    <border>
      <left style="medium">
        <color rgb="FFA89497"/>
      </left>
      <right/>
      <top style="medium">
        <color rgb="FFA89497"/>
      </top>
      <bottom style="thin">
        <color theme="1" tint="0.499984740745262"/>
      </bottom>
      <diagonal/>
    </border>
    <border>
      <left/>
      <right/>
      <top style="medium">
        <color rgb="FFA89497"/>
      </top>
      <bottom style="thin">
        <color theme="1" tint="0.499984740745262"/>
      </bottom>
      <diagonal/>
    </border>
    <border>
      <left/>
      <right style="medium">
        <color rgb="FFA89497"/>
      </right>
      <top/>
      <bottom style="thin">
        <color theme="1" tint="0.499984740745262"/>
      </bottom>
      <diagonal/>
    </border>
    <border>
      <left/>
      <right style="medium">
        <color rgb="FFA89497"/>
      </right>
      <top style="thin">
        <color theme="1" tint="0.499984740745262"/>
      </top>
      <bottom/>
      <diagonal/>
    </border>
    <border>
      <left style="thin">
        <color theme="1" tint="0.499984740745262"/>
      </left>
      <right style="thin">
        <color theme="1" tint="0.499984740745262"/>
      </right>
      <top/>
      <bottom style="medium">
        <color rgb="FFA89497"/>
      </bottom>
      <diagonal/>
    </border>
    <border>
      <left style="thin">
        <color theme="1" tint="0.499984740745262"/>
      </left>
      <right/>
      <top style="medium">
        <color rgb="FFA89497"/>
      </top>
      <bottom style="thin">
        <color theme="1" tint="0.499984740745262"/>
      </bottom>
      <diagonal/>
    </border>
    <border>
      <left style="thin">
        <color theme="1" tint="0.499984740745262"/>
      </left>
      <right style="medium">
        <color rgb="FFA89497"/>
      </right>
      <top style="medium">
        <color rgb="FFA89497"/>
      </top>
      <bottom style="thin">
        <color theme="1" tint="0.499984740745262"/>
      </bottom>
      <diagonal/>
    </border>
    <border>
      <left style="thin">
        <color theme="1" tint="0.499984740745262"/>
      </left>
      <right/>
      <top/>
      <bottom style="medium">
        <color rgb="FFA89497"/>
      </bottom>
      <diagonal/>
    </border>
    <border>
      <left style="thin">
        <color theme="1" tint="0.499984740745262"/>
      </left>
      <right style="medium">
        <color rgb="FFA89497"/>
      </right>
      <top/>
      <bottom style="medium">
        <color rgb="FFA89497"/>
      </bottom>
      <diagonal/>
    </border>
    <border>
      <left style="medium">
        <color rgb="FFA89497"/>
      </left>
      <right style="thin">
        <color theme="1" tint="0.499984740745262"/>
      </right>
      <top style="medium">
        <color rgb="FFA89497"/>
      </top>
      <bottom style="medium">
        <color rgb="FFA89497"/>
      </bottom>
      <diagonal/>
    </border>
    <border>
      <left/>
      <right style="medium">
        <color rgb="FFA89497"/>
      </right>
      <top style="thin">
        <color auto="1"/>
      </top>
      <bottom style="thin">
        <color theme="1" tint="0.499984740745262"/>
      </bottom>
      <diagonal/>
    </border>
    <border>
      <left style="medium">
        <color rgb="FFA89497"/>
      </left>
      <right style="thin">
        <color auto="1"/>
      </right>
      <top/>
      <bottom style="medium">
        <color rgb="FFA89497"/>
      </bottom>
      <diagonal/>
    </border>
    <border>
      <left style="thin">
        <color auto="1"/>
      </left>
      <right style="thin">
        <color theme="1" tint="0.499984740745262"/>
      </right>
      <top/>
      <bottom style="medium">
        <color rgb="FFA89497"/>
      </bottom>
      <diagonal/>
    </border>
    <border>
      <left style="medium">
        <color rgb="FFA89497"/>
      </left>
      <right style="thin">
        <color theme="1" tint="0.3499862666707358"/>
      </right>
      <top style="medium">
        <color rgb="FFA89497"/>
      </top>
      <bottom style="medium">
        <color rgb="FFA89497"/>
      </bottom>
      <diagonal/>
    </border>
    <border>
      <left style="thin">
        <color theme="1" tint="0.3499862666707358"/>
      </left>
      <right style="thin">
        <color theme="1" tint="0.3499862666707358"/>
      </right>
      <top style="medium">
        <color rgb="FFA89497"/>
      </top>
      <bottom style="medium">
        <color rgb="FFA89497"/>
      </bottom>
      <diagonal/>
    </border>
    <border>
      <left style="thin">
        <color theme="1" tint="0.3499862666707358"/>
      </left>
      <right style="thin">
        <color theme="1" tint="0.499984740745262"/>
      </right>
      <top style="medium">
        <color rgb="FFA89497"/>
      </top>
      <bottom style="medium">
        <color rgb="FFA89497"/>
      </bottom>
      <diagonal/>
    </border>
    <border>
      <left style="thin">
        <color theme="1" tint="0.499984740745262"/>
      </left>
      <right style="thin">
        <color theme="1" tint="0.499984740745262"/>
      </right>
      <top style="medium">
        <color rgb="FFA89497"/>
      </top>
      <bottom style="medium">
        <color rgb="FFA89497"/>
      </bottom>
      <diagonal/>
    </border>
    <border>
      <left/>
      <right style="thin">
        <color theme="1" tint="0.499984740745262"/>
      </right>
      <top style="medium">
        <color rgb="FFA89497"/>
      </top>
      <bottom style="medium">
        <color rgb="FFA89497"/>
      </bottom>
      <diagonal/>
    </border>
    <border>
      <left style="medium">
        <color rgb="FFA89497"/>
      </left>
      <right style="medium">
        <color indexed="64"/>
      </right>
      <top style="medium">
        <color rgb="FFA89497"/>
      </top>
      <bottom style="medium">
        <color rgb="FFA89497"/>
      </bottom>
      <diagonal/>
    </border>
    <border>
      <left style="medium">
        <color indexed="64"/>
      </left>
      <right style="thin">
        <color theme="1" tint="0.3499862666707358"/>
      </right>
      <top style="medium">
        <color rgb="FFA89497"/>
      </top>
      <bottom style="medium">
        <color rgb="FFA89497"/>
      </bottom>
      <diagonal/>
    </border>
    <border>
      <left style="medium">
        <color rgb="FFA89497"/>
      </left>
      <right style="medium">
        <color rgb="FFA89497"/>
      </right>
      <top style="medium">
        <color rgb="FFA89497"/>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A89497"/>
      </left>
      <right/>
      <top style="medium">
        <color indexed="64"/>
      </top>
      <bottom style="medium">
        <color indexed="64"/>
      </bottom>
      <diagonal/>
    </border>
    <border>
      <left/>
      <right style="medium">
        <color rgb="FFA89497"/>
      </right>
      <top style="medium">
        <color indexed="64"/>
      </top>
      <bottom style="medium">
        <color indexed="64"/>
      </bottom>
      <diagonal/>
    </border>
    <border>
      <left style="medium">
        <color rgb="FFA89497"/>
      </left>
      <right/>
      <top style="medium">
        <color rgb="FFA89497"/>
      </top>
      <bottom style="medium">
        <color indexed="64"/>
      </bottom>
      <diagonal/>
    </border>
    <border>
      <left/>
      <right/>
      <top style="medium">
        <color rgb="FFA89497"/>
      </top>
      <bottom style="medium">
        <color indexed="64"/>
      </bottom>
      <diagonal/>
    </border>
    <border>
      <left/>
      <right/>
      <top style="medium">
        <color indexed="64"/>
      </top>
      <bottom style="medium">
        <color indexed="64"/>
      </bottom>
      <diagonal/>
    </border>
    <border>
      <left style="thin">
        <color theme="4"/>
      </left>
      <right/>
      <top/>
      <bottom/>
      <diagonal/>
    </border>
    <border>
      <left/>
      <right style="thin">
        <color rgb="FFA89497"/>
      </right>
      <top/>
      <bottom/>
      <diagonal/>
    </border>
    <border>
      <left style="thin">
        <color rgb="FFA89497"/>
      </left>
      <right/>
      <top/>
      <bottom/>
      <diagonal/>
    </border>
    <border>
      <left style="medium">
        <color theme="0" tint="-0.3499862666707358"/>
      </left>
      <right/>
      <top style="medium">
        <color theme="0" tint="-0.3499862666707358"/>
      </top>
      <bottom style="medium">
        <color theme="0" tint="-0.3499862666707358"/>
      </bottom>
      <diagonal/>
    </border>
    <border>
      <left/>
      <right/>
      <top style="medium">
        <color theme="0" tint="-0.3499862666707358"/>
      </top>
      <bottom style="medium">
        <color theme="0" tint="-0.3499862666707358"/>
      </bottom>
      <diagonal/>
    </border>
    <border>
      <left/>
      <right style="medium">
        <color theme="0" tint="-0.3499862666707358"/>
      </right>
      <top style="medium">
        <color theme="0" tint="-0.3499862666707358"/>
      </top>
      <bottom style="medium">
        <color theme="0" tint="-0.3499862666707358"/>
      </bottom>
      <diagonal/>
    </border>
    <border>
      <left style="medium">
        <color theme="0" tint="-0.3499862666707358"/>
      </left>
      <right/>
      <top style="medium">
        <color theme="0" tint="-0.3499862666707358"/>
      </top>
      <bottom/>
      <diagonal/>
    </border>
    <border>
      <left/>
      <right/>
      <top style="medium">
        <color theme="0" tint="-0.3499862666707358"/>
      </top>
      <bottom/>
      <diagonal/>
    </border>
    <border>
      <left/>
      <right style="medium">
        <color theme="0" tint="-0.3499862666707358"/>
      </right>
      <top style="medium">
        <color theme="0" tint="-0.3499862666707358"/>
      </top>
      <bottom/>
      <diagonal/>
    </border>
    <border>
      <left style="medium">
        <color theme="0" tint="-0.3499862666707358"/>
      </left>
      <right/>
      <top/>
      <bottom style="medium">
        <color theme="0" tint="-0.3499862666707358"/>
      </bottom>
      <diagonal/>
    </border>
    <border>
      <left/>
      <right/>
      <top/>
      <bottom style="medium">
        <color theme="0" tint="-0.3499862666707358"/>
      </bottom>
      <diagonal/>
    </border>
    <border>
      <left/>
      <right style="medium">
        <color theme="0" tint="-0.3499862666707358"/>
      </right>
      <top/>
      <bottom style="medium">
        <color theme="0" tint="-0.3499862666707358"/>
      </bottom>
      <diagonal/>
    </border>
    <border>
      <left style="medium">
        <color theme="0" tint="-0.3499862666707358"/>
      </left>
      <right/>
      <top/>
      <bottom/>
      <diagonal/>
    </border>
    <border>
      <left/>
      <right style="medium">
        <color theme="0" tint="-0.3499862666707358"/>
      </right>
      <top/>
      <bottom/>
      <diagonal/>
    </border>
    <border>
      <left style="medium">
        <color rgb="FFA89497"/>
      </left>
      <right style="medium">
        <color rgb="FFA89497"/>
      </right>
      <top style="medium">
        <color rgb="FFA89497"/>
      </top>
      <bottom style="thin">
        <color theme="0" tint="-0.249977111117893"/>
      </bottom>
      <diagonal/>
    </border>
    <border>
      <left style="medium">
        <color rgb="FFA89497"/>
      </left>
      <right/>
      <top style="medium">
        <color rgb="FFA89497"/>
      </top>
      <bottom style="thin">
        <color theme="0" tint="-0.249977111117893"/>
      </bottom>
      <diagonal/>
    </border>
    <border>
      <left/>
      <right/>
      <top style="medium">
        <color rgb="FFA89497"/>
      </top>
      <bottom style="thin">
        <color theme="0" tint="-0.249977111117893"/>
      </bottom>
      <diagonal/>
    </border>
    <border>
      <left/>
      <right style="medium">
        <color rgb="FFA89497"/>
      </right>
      <top style="medium">
        <color rgb="FFA89497"/>
      </top>
      <bottom style="thin">
        <color theme="0" tint="-0.249977111117893"/>
      </bottom>
      <diagonal/>
    </border>
    <border>
      <left style="medium">
        <color rgb="FFA89497"/>
      </left>
      <right/>
      <top style="thin">
        <color theme="0" tint="-0.249977111117893"/>
      </top>
      <bottom/>
      <diagonal/>
    </border>
    <border>
      <left/>
      <right/>
      <top style="thin">
        <color theme="0" tint="-0.249977111117893"/>
      </top>
      <bottom/>
      <diagonal/>
    </border>
    <border>
      <left/>
      <right style="medium">
        <color rgb="FFA89497"/>
      </right>
      <top style="thin">
        <color theme="0" tint="-0.249977111117893"/>
      </top>
      <bottom/>
      <diagonal/>
    </border>
    <border>
      <left/>
      <right/>
      <top style="thin">
        <color theme="0" tint="-0.249977111117893"/>
      </top>
      <bottom style="thin">
        <color theme="0" tint="-0.249977111117893"/>
      </bottom>
      <diagonal/>
    </border>
    <border>
      <left style="medium">
        <color rgb="FFA89497"/>
      </left>
      <right style="medium">
        <color rgb="FFA89497"/>
      </right>
      <top style="thin">
        <color theme="0" tint="-0.249977111117893"/>
      </top>
      <bottom style="thin">
        <color theme="0" tint="-0.249977111117893"/>
      </bottom>
      <diagonal/>
    </border>
    <border>
      <left style="medium">
        <color rgb="FFA89497"/>
      </left>
      <right/>
      <top style="thin">
        <color theme="0" tint="-0.249977111117893"/>
      </top>
      <bottom style="thin">
        <color theme="0" tint="-0.249977111117893"/>
      </bottom>
      <diagonal/>
    </border>
    <border>
      <left/>
      <right style="medium">
        <color rgb="FFA89497"/>
      </right>
      <top style="thin">
        <color theme="0" tint="-0.249977111117893"/>
      </top>
      <bottom style="thin">
        <color theme="0" tint="-0.249977111117893"/>
      </bottom>
      <diagonal/>
    </border>
    <border>
      <left style="medium">
        <color rgb="FFA89497"/>
      </left>
      <right/>
      <top style="thin">
        <color theme="0" tint="-0.249977111117893"/>
      </top>
      <bottom style="medium">
        <color rgb="FFA89497"/>
      </bottom>
      <diagonal/>
    </border>
    <border>
      <left/>
      <right/>
      <top style="thin">
        <color theme="0" tint="-0.249977111117893"/>
      </top>
      <bottom style="medium">
        <color rgb="FFA89497"/>
      </bottom>
      <diagonal/>
    </border>
    <border>
      <left/>
      <right style="medium">
        <color rgb="FFA89497"/>
      </right>
      <top style="thin">
        <color theme="0" tint="-0.249977111117893"/>
      </top>
      <bottom style="medium">
        <color rgb="FFA89497"/>
      </bottom>
      <diagonal/>
    </border>
    <border>
      <left style="medium">
        <color rgb="FFA89497"/>
      </left>
      <right/>
      <top style="medium">
        <color theme="0" tint="-0.3499862666707358"/>
      </top>
      <bottom/>
      <diagonal/>
    </border>
    <border>
      <left/>
      <right style="medium">
        <color rgb="FFA89497"/>
      </right>
      <top style="medium">
        <color theme="0" tint="-0.3499862666707358"/>
      </top>
      <bottom/>
      <diagonal/>
    </border>
    <border>
      <left style="medium">
        <color rgb="FFA89497"/>
      </left>
      <right/>
      <top/>
      <bottom style="medium">
        <color theme="0" tint="-0.3499862666707358"/>
      </bottom>
      <diagonal/>
    </border>
    <border>
      <left/>
      <right style="medium">
        <color rgb="FFA89497"/>
      </right>
      <top/>
      <bottom style="medium">
        <color theme="0" tint="-0.3499862666707358"/>
      </bottom>
      <diagonal/>
    </border>
    <border>
      <left style="medium">
        <color rgb="FFBFBFBF"/>
      </left>
      <right/>
      <top style="medium">
        <color theme="0" tint="-0.3499862666707358"/>
      </top>
      <bottom/>
      <diagonal/>
    </border>
    <border>
      <left/>
      <right style="medium">
        <color rgb="FFBFBFBF"/>
      </right>
      <top style="medium">
        <color theme="0" tint="-0.3499862666707358"/>
      </top>
      <bottom/>
      <diagonal/>
    </border>
    <border>
      <left style="thin">
        <color theme="1" tint="0.499984740745262"/>
      </left>
      <right style="medium">
        <color rgb="FFA89497"/>
      </right>
      <top style="thin">
        <color theme="1" tint="0.3499862666707358"/>
      </top>
      <bottom style="thin">
        <color theme="1" tint="0.499984740745262"/>
      </bottom>
      <diagonal/>
    </border>
    <border>
      <left style="thin">
        <color theme="1" tint="0.499984740745262"/>
      </left>
      <right style="medium">
        <color rgb="FFA89497"/>
      </right>
      <top style="thin">
        <color theme="1" tint="0.249977111117893"/>
      </top>
      <bottom style="thin">
        <color theme="1" tint="0.3499862666707358"/>
      </bottom>
      <diagonal/>
    </border>
    <border>
      <left style="thin">
        <color theme="1" tint="0.499984740745262"/>
      </left>
      <right style="medium">
        <color rgb="FFA89497"/>
      </right>
      <top style="thin">
        <color theme="1" tint="0.3499862666707358"/>
      </top>
      <bottom style="medium">
        <color rgb="FFA89497"/>
      </bottom>
      <diagonal/>
    </border>
    <border>
      <left/>
      <right/>
      <top style="thin">
        <color theme="1" tint="0.249977111117893"/>
      </top>
      <bottom/>
      <diagonal/>
    </border>
    <border>
      <left/>
      <right style="thin">
        <color theme="1" tint="0.499984740745262"/>
      </right>
      <top style="thin">
        <color theme="1" tint="0.249977111117893"/>
      </top>
      <bottom/>
      <diagonal/>
    </border>
    <border>
      <left style="thin">
        <color theme="1" tint="0.499984740745262"/>
      </left>
      <right/>
      <top style="thin">
        <color theme="1" tint="0.3499862666707358"/>
      </top>
      <bottom style="medium">
        <color rgb="FFA89497"/>
      </bottom>
      <diagonal/>
    </border>
    <border>
      <left/>
      <right style="thin">
        <color theme="1" tint="0.499984740745262"/>
      </right>
      <top style="thin">
        <color theme="1" tint="0.3499862666707358"/>
      </top>
      <bottom style="medium">
        <color rgb="FFA89497"/>
      </bottom>
      <diagonal/>
    </border>
    <border>
      <left style="thin">
        <color theme="1" tint="0.499984740745262"/>
      </left>
      <right/>
      <top style="thin">
        <color theme="1" tint="0.3499862666707358"/>
      </top>
      <bottom style="thin">
        <color theme="1" tint="0.3499862666707358"/>
      </bottom>
      <diagonal/>
    </border>
    <border>
      <left/>
      <right style="thin">
        <color theme="1" tint="0.499984740745262"/>
      </right>
      <top style="thin">
        <color theme="1" tint="0.3499862666707358"/>
      </top>
      <bottom style="thin">
        <color theme="1" tint="0.3499862666707358"/>
      </bottom>
      <diagonal/>
    </border>
    <border>
      <left/>
      <right/>
      <top/>
      <bottom style="double">
        <color theme="4"/>
      </bottom>
      <diagonal/>
    </border>
    <border>
      <left style="thin">
        <color theme="4"/>
      </left>
      <right style="thin">
        <color theme="4"/>
      </right>
      <top style="thin">
        <color theme="4"/>
      </top>
      <bottom style="thin">
        <color theme="4"/>
      </bottom>
      <diagonal/>
    </border>
    <border>
      <left style="thin">
        <color rgb="FFA89497"/>
      </left>
      <right style="thin">
        <color rgb="FFA89497"/>
      </right>
      <top/>
      <bottom/>
      <diagonal/>
    </border>
    <border>
      <left style="medium">
        <color rgb="FFBFBFBF"/>
      </left>
      <right style="medium">
        <color rgb="FFBFBFBF"/>
      </right>
      <top style="medium">
        <color rgb="FFBFBFBF"/>
      </top>
      <bottom style="medium">
        <color rgb="FFBFBFBF"/>
      </bottom>
      <diagonal/>
    </border>
    <border>
      <left/>
      <right/>
      <top style="medium">
        <color rgb="FFBFBFBF"/>
      </top>
      <bottom/>
      <diagonal/>
    </border>
    <border>
      <left/>
      <right style="medium">
        <color rgb="FFBFBFBF"/>
      </right>
      <top style="medium">
        <color rgb="FFBFBFBF"/>
      </top>
      <bottom/>
      <diagonal/>
    </border>
    <border>
      <left style="medium">
        <color rgb="FFA89497"/>
      </left>
      <right style="medium">
        <color rgb="FFA89497"/>
      </right>
      <top style="thin">
        <color theme="0" tint="-0.249977111117893"/>
      </top>
      <bottom/>
      <diagonal/>
    </border>
    <border>
      <left style="medium">
        <color rgb="FFA89497"/>
      </left>
      <right style="medium">
        <color rgb="FFA89497"/>
      </right>
      <top style="thin">
        <color theme="0" tint="-0.249977111117893"/>
      </top>
      <bottom style="medium">
        <color rgb="FFA89497"/>
      </bottom>
      <diagonal/>
    </border>
    <border>
      <left style="medium">
        <color theme="0" tint="-0.3499862666707358"/>
      </left>
      <right style="medium">
        <color theme="0" tint="-0.3499862666707358"/>
      </right>
      <top style="medium">
        <color theme="0" tint="-0.3499862666707358"/>
      </top>
      <bottom style="medium">
        <color theme="0" tint="-0.3499862666707358"/>
      </bottom>
      <diagonal/>
    </border>
    <border>
      <left style="medium">
        <color rgb="FFA89497"/>
      </left>
      <right style="medium">
        <color rgb="FFA89497"/>
      </right>
      <top/>
      <bottom style="medium">
        <color theme="0" tint="-0.3499862666707358"/>
      </bottom>
      <diagonal/>
    </border>
    <border>
      <left style="medium">
        <color theme="0" tint="-0.3499862666707358"/>
      </left>
      <right style="medium">
        <color theme="0" tint="-0.3499862666707358"/>
      </right>
      <top style="medium">
        <color theme="0" tint="-0.3499862666707358"/>
      </top>
      <bottom/>
      <diagonal/>
    </border>
    <border>
      <left style="medium">
        <color rgb="FFA89497"/>
      </left>
      <right style="medium">
        <color rgb="FFA89497"/>
      </right>
      <top style="medium">
        <color theme="0" tint="-0.3499862666707358"/>
      </top>
      <bottom/>
      <diagonal/>
    </border>
    <border>
      <left style="medium">
        <color rgb="FFBFBFBF"/>
      </left>
      <right style="medium">
        <color rgb="FFA89497"/>
      </right>
      <top/>
      <bottom/>
      <diagonal/>
    </border>
    <border>
      <left style="medium">
        <color rgb="FFBFBFBF"/>
      </left>
      <right style="medium">
        <color rgb="FFBFBFBF"/>
      </right>
      <top/>
      <bottom/>
      <diagonal/>
    </border>
    <border>
      <left style="medium">
        <color theme="0" tint="-0.3499862666707358"/>
      </left>
      <right style="medium">
        <color theme="0" tint="-0.3499862666707358"/>
      </right>
      <top/>
      <bottom style="medium">
        <color theme="0" tint="-0.3499862666707358"/>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theme="0" tint="-0.3499862666707358"/>
      </top>
      <bottom style="medium">
        <color rgb="FFBFBFBF"/>
      </bottom>
      <diagonal/>
    </border>
    <border>
      <left style="medium">
        <color theme="0" tint="-0.3499862666707358"/>
      </left>
      <right style="medium">
        <color theme="0" tint="-0.3499862666707358"/>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rgb="FFA89497"/>
      </left>
      <right style="medium">
        <color rgb="FFA89497"/>
      </right>
      <top style="medium">
        <color indexed="64"/>
      </top>
      <bottom style="medium">
        <color indexed="64"/>
      </bottom>
      <diagonal/>
    </border>
    <border>
      <left/>
      <right style="medium">
        <color rgb="FFA89497"/>
      </right>
      <top style="medium">
        <color indexed="64"/>
      </top>
      <bottom/>
      <diagonal/>
    </border>
    <border>
      <left/>
      <right style="thin">
        <color theme="1" tint="0.3499862666707358"/>
      </right>
      <top style="medium">
        <color rgb="FFA89497"/>
      </top>
      <bottom/>
      <diagonal/>
    </border>
    <border>
      <left style="thin">
        <color theme="1" tint="0.499984740745262"/>
      </left>
      <right style="thin">
        <color theme="1" tint="0.499984740745262"/>
      </right>
      <top style="thin">
        <color theme="1" tint="0.3499862666707358"/>
      </top>
      <bottom style="medium">
        <color rgb="FFA89497"/>
      </bottom>
      <diagonal/>
    </border>
    <border>
      <left/>
      <right/>
      <top style="thin">
        <color theme="1" tint="0.3499862666707358"/>
      </top>
      <bottom/>
      <diagonal/>
    </border>
    <border>
      <left/>
      <right style="thin">
        <color theme="1" tint="0.499984740745262"/>
      </right>
      <top style="thin">
        <color theme="1" tint="0.3499862666707358"/>
      </top>
      <bottom/>
      <diagonal/>
    </border>
    <border>
      <left/>
      <right style="thin">
        <color indexed="64"/>
      </right>
      <top style="medium">
        <color rgb="FFA89497"/>
      </top>
      <bottom/>
      <diagonal/>
    </border>
    <border>
      <left/>
      <right style="thin">
        <color indexed="64"/>
      </right>
      <top style="medium">
        <color rgb="FFA89497"/>
      </top>
      <bottom style="medium">
        <color rgb="FFA89497"/>
      </bottom>
      <diagonal/>
    </border>
    <border>
      <left style="thin">
        <color theme="1" tint="0.499984740745262"/>
      </left>
      <right style="thin">
        <color theme="1" tint="0.499984740745262"/>
      </right>
      <top style="thin">
        <color theme="1" tint="0.3499862666707358"/>
      </top>
      <bottom style="thin">
        <color theme="1" tint="0.3499862666707358"/>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right style="thin">
        <color theme="1" tint="0.3499862666707358"/>
      </right>
      <top style="thin">
        <color theme="1" tint="0.3499862666707358"/>
      </top>
      <bottom/>
      <diagonal/>
    </border>
    <border>
      <left/>
      <right/>
      <top style="thin">
        <color theme="4"/>
      </top>
      <bottom/>
      <diagonal/>
    </border>
    <border>
      <left/>
      <right style="thin">
        <color theme="4"/>
      </right>
      <top style="thin">
        <color theme="4"/>
      </top>
      <bottom/>
      <diagonal/>
    </border>
    <border>
      <left/>
      <right/>
      <top style="thin">
        <color theme="4"/>
      </top>
      <bottom style="thin">
        <color theme="4"/>
      </bottom>
      <diagonal/>
    </border>
    <border>
      <left/>
      <right style="thin">
        <color theme="4"/>
      </right>
      <top style="thin">
        <color theme="4"/>
      </top>
      <bottom style="thin">
        <color theme="4"/>
      </bottom>
      <diagonal/>
    </border>
    <border>
      <left/>
      <right style="thin">
        <color theme="4"/>
      </right>
      <top/>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s>
  <cellStyleXfs count="14">
    <xf numFmtId="0" fontId="4" fillId="0" borderId="0"/>
    <xf numFmtId="43" fontId="4" fillId="0" borderId="0"/>
    <xf numFmtId="44" fontId="4" fillId="0" borderId="0"/>
    <xf numFmtId="9" fontId="4" fillId="0" borderId="0"/>
    <xf numFmtId="0" fontId="5" fillId="0" borderId="0"/>
    <xf numFmtId="0" fontId="31" fillId="0" borderId="32" applyAlignment="1">
      <alignment horizontal="left"/>
    </xf>
    <xf numFmtId="0" fontId="32" fillId="0" borderId="0" applyAlignment="1">
      <alignment horizontal="right"/>
    </xf>
    <xf numFmtId="0" fontId="32" fillId="0" borderId="0" applyAlignment="1">
      <alignment horizontal="right" indent="1"/>
    </xf>
    <xf numFmtId="0" fontId="32" fillId="0" borderId="0" applyAlignment="1">
      <alignment horizontal="left" indent="5"/>
    </xf>
    <xf numFmtId="44" fontId="32" fillId="0" borderId="0"/>
    <xf numFmtId="10" fontId="32" fillId="0" borderId="0"/>
    <xf numFmtId="1" fontId="32" fillId="0" borderId="0" applyAlignment="1">
      <alignment horizontal="right"/>
    </xf>
    <xf numFmtId="14" fontId="32" fillId="0" borderId="0" applyAlignment="1">
      <alignment horizontal="right"/>
    </xf>
    <xf numFmtId="0" fontId="32" fillId="0" borderId="0" applyAlignment="1">
      <alignment horizontal="center" wrapText="1"/>
    </xf>
  </cellStyleXfs>
  <cellXfs count="1228">
    <xf numFmtId="0" fontId="0" fillId="0" borderId="0" pivotButton="0" quotePrefix="0" xfId="0"/>
    <xf numFmtId="0" fontId="12" fillId="2" borderId="0" applyProtection="1" pivotButton="0" quotePrefix="0" xfId="0">
      <protection locked="0" hidden="0"/>
    </xf>
    <xf numFmtId="0" fontId="6" fillId="2" borderId="0" pivotButton="0" quotePrefix="0" xfId="0"/>
    <xf numFmtId="0" fontId="6" fillId="2" borderId="0" applyAlignment="1" pivotButton="0" quotePrefix="0" xfId="0">
      <alignment horizontal="center"/>
    </xf>
    <xf numFmtId="0" fontId="13" fillId="2" borderId="0" applyAlignment="1" pivotButton="0" quotePrefix="0" xfId="0">
      <alignment horizontal="center"/>
    </xf>
    <xf numFmtId="0" fontId="12" fillId="2" borderId="0" pivotButton="0" quotePrefix="0" xfId="0"/>
    <xf numFmtId="0" fontId="9" fillId="2" borderId="0" pivotButton="0" quotePrefix="0" xfId="0"/>
    <xf numFmtId="3" fontId="9" fillId="2" borderId="0" pivotButton="0" quotePrefix="0" xfId="0"/>
    <xf numFmtId="164" fontId="6" fillId="2" borderId="0" pivotButton="0" quotePrefix="0" xfId="1"/>
    <xf numFmtId="0" fontId="25" fillId="0" borderId="0" pivotButton="0" quotePrefix="0" xfId="0"/>
    <xf numFmtId="0" fontId="14" fillId="2" borderId="0" pivotButton="0" quotePrefix="0" xfId="0"/>
    <xf numFmtId="0" fontId="24" fillId="0" borderId="2" applyAlignment="1" pivotButton="0" quotePrefix="0" xfId="0">
      <alignment vertical="top" wrapText="1"/>
    </xf>
    <xf numFmtId="165" fontId="15" fillId="2" borderId="0" applyAlignment="1" pivotButton="0" quotePrefix="0" xfId="0">
      <alignment horizontal="center" vertical="center"/>
    </xf>
    <xf numFmtId="165" fontId="16" fillId="2" borderId="0" applyAlignment="1" pivotButton="0" quotePrefix="0" xfId="0">
      <alignment vertical="center"/>
    </xf>
    <xf numFmtId="0" fontId="15" fillId="0" borderId="0" pivotButton="0" quotePrefix="0" xfId="0"/>
    <xf numFmtId="0" fontId="7" fillId="2" borderId="0" applyAlignment="1" pivotButton="0" quotePrefix="0" xfId="0">
      <alignment horizontal="right" vertical="center" wrapText="1"/>
    </xf>
    <xf numFmtId="0" fontId="9" fillId="0" borderId="0" applyAlignment="1" pivotButton="0" quotePrefix="0" xfId="6">
      <alignment horizontal="right"/>
    </xf>
    <xf numFmtId="166" fontId="9" fillId="7" borderId="7" applyAlignment="1" pivotButton="0" quotePrefix="0" xfId="0">
      <alignment horizontal="center"/>
    </xf>
    <xf numFmtId="166" fontId="9" fillId="7" borderId="14" applyAlignment="1" pivotButton="0" quotePrefix="0" xfId="0">
      <alignment horizontal="center"/>
    </xf>
    <xf numFmtId="166" fontId="9" fillId="7" borderId="11" applyAlignment="1" pivotButton="0" quotePrefix="0" xfId="0">
      <alignment horizontal="center"/>
    </xf>
    <xf numFmtId="166" fontId="9" fillId="7" borderId="13" applyAlignment="1" pivotButton="0" quotePrefix="0" xfId="0">
      <alignment horizontal="center"/>
    </xf>
    <xf numFmtId="166" fontId="9" fillId="7" borderId="9" applyAlignment="1" pivotButton="0" quotePrefix="0" xfId="0">
      <alignment horizontal="center"/>
    </xf>
    <xf numFmtId="166" fontId="9" fillId="7" borderId="0" applyAlignment="1" pivotButton="0" quotePrefix="0" xfId="0">
      <alignment horizontal="center"/>
    </xf>
    <xf numFmtId="166" fontId="9" fillId="7" borderId="16" applyAlignment="1" pivotButton="0" quotePrefix="0" xfId="0">
      <alignment horizontal="center"/>
    </xf>
    <xf numFmtId="166" fontId="9" fillId="7" borderId="17" applyAlignment="1" pivotButton="0" quotePrefix="0" xfId="0">
      <alignment horizontal="center"/>
    </xf>
    <xf numFmtId="167" fontId="9" fillId="7" borderId="7" applyAlignment="1" pivotButton="0" quotePrefix="0" xfId="0">
      <alignment horizontal="center"/>
    </xf>
    <xf numFmtId="167" fontId="9" fillId="7" borderId="15" applyAlignment="1" pivotButton="0" quotePrefix="0" xfId="0">
      <alignment horizontal="center"/>
    </xf>
    <xf numFmtId="167" fontId="9" fillId="7" borderId="9" applyAlignment="1" pivotButton="0" quotePrefix="0" xfId="0">
      <alignment horizontal="center"/>
    </xf>
    <xf numFmtId="167" fontId="9" fillId="7" borderId="41" applyAlignment="1" pivotButton="0" quotePrefix="0" xfId="0">
      <alignment horizontal="center"/>
    </xf>
    <xf numFmtId="0" fontId="25" fillId="7" borderId="2" applyAlignment="1" pivotButton="0" quotePrefix="0" xfId="0">
      <alignment horizontal="center"/>
    </xf>
    <xf numFmtId="0" fontId="6" fillId="0" borderId="4" applyAlignment="1" pivotButton="0" quotePrefix="0" xfId="0">
      <alignment horizontal="left" vertical="center"/>
    </xf>
    <xf numFmtId="0" fontId="6" fillId="7" borderId="4" applyAlignment="1" pivotButton="0" quotePrefix="0" xfId="0">
      <alignment horizontal="left" vertical="center"/>
    </xf>
    <xf numFmtId="0" fontId="9" fillId="0" borderId="9" applyAlignment="1" applyProtection="1" pivotButton="0" quotePrefix="0" xfId="0">
      <alignment horizontal="center" vertical="center"/>
      <protection locked="0" hidden="0"/>
    </xf>
    <xf numFmtId="166" fontId="9" fillId="0" borderId="7" applyAlignment="1" applyProtection="1" pivotButton="0" quotePrefix="0" xfId="0">
      <alignment horizontal="center" vertical="center"/>
      <protection locked="0" hidden="0"/>
    </xf>
    <xf numFmtId="0" fontId="25" fillId="0" borderId="2" applyAlignment="1" pivotButton="0" quotePrefix="0" xfId="0">
      <alignment horizontal="left" vertical="center"/>
    </xf>
    <xf numFmtId="0" fontId="0" fillId="0" borderId="6" pivotButton="0" quotePrefix="0" xfId="0"/>
    <xf numFmtId="0" fontId="23" fillId="2" borderId="6" applyAlignment="1" applyProtection="1" pivotButton="0" quotePrefix="0" xfId="0">
      <alignment vertical="center"/>
      <protection locked="0" hidden="0"/>
    </xf>
    <xf numFmtId="0" fontId="10" fillId="2" borderId="6" applyAlignment="1" applyProtection="1" pivotButton="0" quotePrefix="0" xfId="0">
      <alignment vertical="center"/>
      <protection locked="0" hidden="0"/>
    </xf>
    <xf numFmtId="0" fontId="10" fillId="2" borderId="6" applyAlignment="1" applyProtection="1" pivotButton="0" quotePrefix="0" xfId="0">
      <alignment horizontal="left" vertical="center"/>
      <protection locked="0" hidden="0"/>
    </xf>
    <xf numFmtId="0" fontId="11" fillId="2" borderId="6" applyAlignment="1" applyProtection="1" pivotButton="0" quotePrefix="0" xfId="0">
      <alignment horizontal="center"/>
      <protection locked="0" hidden="0"/>
    </xf>
    <xf numFmtId="0" fontId="12" fillId="2" borderId="6" applyProtection="1" pivotButton="0" quotePrefix="0" xfId="0">
      <protection locked="0" hidden="0"/>
    </xf>
    <xf numFmtId="0" fontId="9" fillId="0" borderId="0" applyAlignment="1" pivotButton="0" quotePrefix="0" xfId="0">
      <alignment vertical="center"/>
    </xf>
    <xf numFmtId="0" fontId="0" fillId="0" borderId="50" pivotButton="0" quotePrefix="0" xfId="0"/>
    <xf numFmtId="0" fontId="38" fillId="2" borderId="0" applyAlignment="1" pivotButton="0" quotePrefix="0" xfId="0">
      <alignment horizontal="left" vertical="top"/>
    </xf>
    <xf numFmtId="0" fontId="0" fillId="2" borderId="0" applyAlignment="1" pivotButton="0" quotePrefix="0" xfId="0">
      <alignment vertical="top"/>
    </xf>
    <xf numFmtId="0" fontId="0" fillId="2" borderId="1" applyAlignment="1" pivotButton="0" quotePrefix="0" xfId="0">
      <alignment horizontal="left" vertical="top"/>
    </xf>
    <xf numFmtId="0" fontId="0" fillId="2" borderId="1"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horizontal="left" vertical="top"/>
    </xf>
    <xf numFmtId="0" fontId="50" fillId="2" borderId="0" applyAlignment="1" pivotButton="0" quotePrefix="0" xfId="0">
      <alignment horizontal="left" vertical="top" wrapText="1"/>
    </xf>
    <xf numFmtId="17" fontId="51" fillId="2" borderId="1" applyAlignment="1" pivotButton="0" quotePrefix="1" xfId="0">
      <alignment horizontal="left" vertical="top"/>
    </xf>
    <xf numFmtId="0" fontId="52" fillId="2" borderId="1" applyAlignment="1" pivotButton="0" quotePrefix="0" xfId="0">
      <alignment vertical="top"/>
    </xf>
    <xf numFmtId="0" fontId="53" fillId="2" borderId="1" applyAlignment="1" pivotButton="0" quotePrefix="0" xfId="0">
      <alignment vertical="top"/>
    </xf>
    <xf numFmtId="0" fontId="0" fillId="2" borderId="0" applyAlignment="1" pivotButton="0" quotePrefix="0" xfId="0">
      <alignment horizontal="left" vertical="top"/>
    </xf>
    <xf numFmtId="0" fontId="0" fillId="2" borderId="0" applyAlignment="1" pivotButton="0" quotePrefix="0" xfId="0">
      <alignment horizontal="left" vertical="top" wrapText="1"/>
    </xf>
    <xf numFmtId="0" fontId="54" fillId="2" borderId="0" applyAlignment="1" pivotButton="0" quotePrefix="0" xfId="0">
      <alignment vertical="top"/>
    </xf>
    <xf numFmtId="0" fontId="55" fillId="2" borderId="0" applyAlignment="1" pivotButton="0" quotePrefix="0" xfId="0">
      <alignment horizontal="left" vertical="top"/>
    </xf>
    <xf numFmtId="0" fontId="56" fillId="2" borderId="0" applyAlignment="1" pivotButton="0" quotePrefix="0" xfId="0">
      <alignment vertical="top"/>
    </xf>
    <xf numFmtId="0" fontId="0" fillId="2" borderId="0" applyAlignment="1" pivotButton="0" quotePrefix="0" xfId="0">
      <alignment vertical="top" wrapText="1"/>
    </xf>
    <xf numFmtId="0" fontId="54" fillId="2" borderId="0" applyAlignment="1" pivotButton="0" quotePrefix="0" xfId="0">
      <alignment vertical="top" wrapText="1"/>
    </xf>
    <xf numFmtId="0" fontId="32" fillId="2" borderId="0" applyAlignment="1" pivotButton="0" quotePrefix="0" xfId="0">
      <alignment vertical="top" wrapText="1"/>
    </xf>
    <xf numFmtId="0" fontId="60" fillId="0" borderId="8" applyAlignment="1" applyProtection="1" pivotButton="0" quotePrefix="0" xfId="0">
      <alignment vertical="center"/>
      <protection locked="0" hidden="0"/>
    </xf>
    <xf numFmtId="165" fontId="60" fillId="0" borderId="12" applyAlignment="1" applyProtection="1" pivotButton="0" quotePrefix="0" xfId="0">
      <alignment horizontal="center" vertical="center"/>
      <protection locked="0" hidden="0"/>
    </xf>
    <xf numFmtId="165" fontId="60" fillId="7" borderId="31" applyAlignment="1" pivotButton="0" quotePrefix="0" xfId="0">
      <alignment horizontal="center" vertical="center"/>
    </xf>
    <xf numFmtId="0" fontId="60" fillId="0" borderId="10" applyAlignment="1" applyProtection="1" pivotButton="0" quotePrefix="0" xfId="0">
      <alignment vertical="center"/>
      <protection locked="0" hidden="0"/>
    </xf>
    <xf numFmtId="165" fontId="60" fillId="0" borderId="10" applyAlignment="1" applyProtection="1" pivotButton="0" quotePrefix="0" xfId="0">
      <alignment horizontal="center" vertical="center"/>
      <protection locked="0" hidden="0"/>
    </xf>
    <xf numFmtId="165" fontId="60" fillId="7" borderId="9" applyAlignment="1" pivotButton="0" quotePrefix="0" xfId="0">
      <alignment horizontal="center" vertical="center"/>
    </xf>
    <xf numFmtId="165" fontId="60" fillId="7" borderId="10" applyAlignment="1" pivotButton="0" quotePrefix="0" xfId="0">
      <alignment horizontal="center" vertical="center"/>
    </xf>
    <xf numFmtId="165" fontId="60" fillId="0" borderId="8" applyAlignment="1" applyProtection="1" pivotButton="0" quotePrefix="0" xfId="0">
      <alignment horizontal="center" vertical="center"/>
      <protection locked="0" hidden="0"/>
    </xf>
    <xf numFmtId="165" fontId="60" fillId="0" borderId="7" applyAlignment="1" applyProtection="1" pivotButton="0" quotePrefix="0" xfId="0">
      <alignment horizontal="center" vertical="center"/>
      <protection locked="0" hidden="0"/>
    </xf>
    <xf numFmtId="165" fontId="60" fillId="0" borderId="9" applyAlignment="1" applyProtection="1" pivotButton="0" quotePrefix="0" xfId="0">
      <alignment horizontal="center" vertical="center"/>
      <protection locked="0" hidden="0"/>
    </xf>
    <xf numFmtId="0" fontId="60" fillId="0" borderId="12" applyAlignment="1" applyProtection="1" pivotButton="0" quotePrefix="0" xfId="0">
      <alignment vertical="center"/>
      <protection locked="0" hidden="0"/>
    </xf>
    <xf numFmtId="165" fontId="60" fillId="0" borderId="11" applyAlignment="1" applyProtection="1" pivotButton="0" quotePrefix="0" xfId="0">
      <alignment horizontal="center" vertical="center"/>
      <protection locked="0" hidden="0"/>
    </xf>
    <xf numFmtId="0" fontId="64" fillId="0" borderId="10" applyAlignment="1" applyProtection="1" pivotButton="0" quotePrefix="0" xfId="0">
      <alignment vertical="center"/>
      <protection locked="0" hidden="0"/>
    </xf>
    <xf numFmtId="165" fontId="60" fillId="0" borderId="10" applyAlignment="1" applyProtection="1" pivotButton="0" quotePrefix="0" xfId="2">
      <alignment horizontal="center" vertical="center"/>
      <protection locked="0" hidden="0"/>
    </xf>
    <xf numFmtId="0" fontId="64" fillId="0" borderId="8" applyAlignment="1" applyProtection="1" pivotButton="0" quotePrefix="0" xfId="0">
      <alignment vertical="center"/>
      <protection locked="0" hidden="0"/>
    </xf>
    <xf numFmtId="165" fontId="60" fillId="7" borderId="8" applyAlignment="1" pivotButton="0" quotePrefix="0" xfId="2">
      <alignment horizontal="center" vertical="center"/>
    </xf>
    <xf numFmtId="165" fontId="60" fillId="0" borderId="8" applyAlignment="1" applyProtection="1" pivotButton="0" quotePrefix="0" xfId="2">
      <alignment horizontal="center" vertical="center"/>
      <protection locked="0" hidden="0"/>
    </xf>
    <xf numFmtId="0" fontId="64" fillId="0" borderId="11" applyAlignment="1" applyProtection="1" pivotButton="0" quotePrefix="0" xfId="0">
      <alignment vertical="center"/>
      <protection locked="0" hidden="0"/>
    </xf>
    <xf numFmtId="165" fontId="60" fillId="0" borderId="12" applyAlignment="1" applyProtection="1" pivotButton="0" quotePrefix="0" xfId="2">
      <alignment horizontal="center" vertical="center"/>
      <protection locked="0" hidden="0"/>
    </xf>
    <xf numFmtId="0" fontId="64" fillId="0" borderId="12" applyAlignment="1" applyProtection="1" pivotButton="0" quotePrefix="0" xfId="0">
      <alignment vertical="center"/>
      <protection locked="0" hidden="0"/>
    </xf>
    <xf numFmtId="0" fontId="64" fillId="0" borderId="18" applyAlignment="1" applyProtection="1" pivotButton="0" quotePrefix="0" xfId="0">
      <alignment vertical="center"/>
      <protection locked="0" hidden="0"/>
    </xf>
    <xf numFmtId="0" fontId="64" fillId="0" borderId="9" applyAlignment="1" applyProtection="1" pivotButton="0" quotePrefix="0" xfId="0">
      <alignment vertical="center"/>
      <protection locked="0" hidden="0"/>
    </xf>
    <xf numFmtId="0" fontId="64" fillId="0" borderId="7" applyAlignment="1" applyProtection="1" pivotButton="0" quotePrefix="0" xfId="0">
      <alignment vertical="center"/>
      <protection locked="0" hidden="0"/>
    </xf>
    <xf numFmtId="165" fontId="60" fillId="7" borderId="14" applyAlignment="1" pivotButton="0" quotePrefix="0" xfId="2">
      <alignment horizontal="center" vertical="center"/>
    </xf>
    <xf numFmtId="165" fontId="60" fillId="7" borderId="7" applyAlignment="1" pivotButton="0" quotePrefix="0" xfId="2">
      <alignment horizontal="center" vertical="center"/>
    </xf>
    <xf numFmtId="0" fontId="64" fillId="0" borderId="8" applyAlignment="1" applyProtection="1" pivotButton="0" quotePrefix="0" xfId="0">
      <alignment horizontal="center" vertical="center"/>
      <protection locked="0" hidden="0"/>
    </xf>
    <xf numFmtId="0" fontId="9" fillId="0" borderId="1" applyAlignment="1" pivotButton="0" quotePrefix="0" xfId="6">
      <alignment horizontal="right"/>
    </xf>
    <xf numFmtId="14" fontId="64" fillId="11" borderId="0" applyAlignment="1" pivotButton="0" quotePrefix="0" xfId="12">
      <alignment horizontal="right"/>
    </xf>
    <xf numFmtId="168" fontId="64" fillId="11" borderId="0" applyAlignment="1" pivotButton="0" quotePrefix="0" xfId="9">
      <alignment horizontal="right"/>
    </xf>
    <xf numFmtId="168" fontId="64" fillId="0" borderId="60" applyAlignment="1" applyProtection="1" pivotButton="0" quotePrefix="0" xfId="9">
      <alignment horizontal="right"/>
      <protection locked="0" hidden="0"/>
    </xf>
    <xf numFmtId="10" fontId="64" fillId="7" borderId="56" applyAlignment="1" pivotButton="0" quotePrefix="0" xfId="10">
      <alignment horizontal="right"/>
    </xf>
    <xf numFmtId="1" fontId="64" fillId="0" borderId="60" applyAlignment="1" applyProtection="1" pivotButton="0" quotePrefix="0" xfId="11">
      <alignment horizontal="right"/>
      <protection locked="0" hidden="0"/>
    </xf>
    <xf numFmtId="14" fontId="64" fillId="0" borderId="60" applyAlignment="1" applyProtection="1" pivotButton="0" quotePrefix="0" xfId="12">
      <alignment horizontal="right"/>
      <protection locked="0" hidden="0"/>
    </xf>
    <xf numFmtId="168" fontId="64" fillId="7" borderId="61" applyAlignment="1" pivotButton="0" quotePrefix="0" xfId="9">
      <alignment horizontal="right"/>
    </xf>
    <xf numFmtId="1" fontId="64" fillId="7" borderId="62" applyAlignment="1" pivotButton="0" quotePrefix="0" xfId="11">
      <alignment horizontal="right"/>
    </xf>
    <xf numFmtId="168" fontId="64" fillId="7" borderId="62" applyAlignment="1" pivotButton="0" quotePrefix="0" xfId="9">
      <alignment horizontal="right"/>
    </xf>
    <xf numFmtId="168" fontId="64" fillId="7" borderId="63" applyAlignment="1" pivotButton="0" quotePrefix="0" xfId="9">
      <alignment horizontal="right"/>
    </xf>
    <xf numFmtId="0" fontId="39" fillId="5" borderId="52" applyAlignment="1" pivotButton="0" quotePrefix="0" xfId="13">
      <alignment horizontal="center" wrapText="1"/>
    </xf>
    <xf numFmtId="0" fontId="39" fillId="5" borderId="53" applyAlignment="1" pivotButton="0" quotePrefix="0" xfId="13">
      <alignment horizontal="center" wrapText="1"/>
    </xf>
    <xf numFmtId="0" fontId="39" fillId="5" borderId="54" applyAlignment="1" pivotButton="0" quotePrefix="0" xfId="13">
      <alignment horizontal="center" wrapText="1"/>
    </xf>
    <xf numFmtId="1" fontId="64" fillId="11" borderId="55" applyAlignment="1" pivotButton="0" quotePrefix="0" xfId="11">
      <alignment horizontal="right"/>
    </xf>
    <xf numFmtId="168" fontId="64" fillId="11" borderId="56" applyAlignment="1" pivotButton="0" quotePrefix="0" xfId="9">
      <alignment horizontal="right"/>
    </xf>
    <xf numFmtId="1" fontId="64" fillId="11" borderId="57" applyAlignment="1" pivotButton="0" quotePrefix="0" xfId="11">
      <alignment horizontal="right"/>
    </xf>
    <xf numFmtId="14" fontId="64" fillId="11" borderId="58" applyAlignment="1" pivotButton="0" quotePrefix="0" xfId="12">
      <alignment horizontal="right"/>
    </xf>
    <xf numFmtId="168" fontId="64" fillId="11" borderId="58" applyAlignment="1" pivotButton="0" quotePrefix="0" xfId="9">
      <alignment horizontal="right"/>
    </xf>
    <xf numFmtId="168" fontId="64" fillId="11" borderId="59" applyAlignment="1" pivotButton="0" quotePrefix="0" xfId="9">
      <alignment horizontal="right"/>
    </xf>
    <xf numFmtId="0" fontId="18" fillId="5" borderId="64" applyAlignment="1" pivotButton="0" quotePrefix="0" xfId="0">
      <alignment horizontal="center" vertical="center"/>
    </xf>
    <xf numFmtId="0" fontId="17" fillId="5" borderId="66" applyAlignment="1" pivotButton="0" quotePrefix="0" xfId="0">
      <alignment horizontal="center" vertical="center" wrapText="1"/>
    </xf>
    <xf numFmtId="0" fontId="60" fillId="8" borderId="67" applyAlignment="1" applyProtection="1" pivotButton="0" quotePrefix="0" xfId="0">
      <alignment vertical="center"/>
      <protection locked="0" hidden="0"/>
    </xf>
    <xf numFmtId="165" fontId="24" fillId="0" borderId="68" applyAlignment="1" applyProtection="1" pivotButton="0" quotePrefix="0" xfId="0">
      <alignment horizontal="center" vertical="center"/>
      <protection locked="0" hidden="0"/>
    </xf>
    <xf numFmtId="0" fontId="60" fillId="8" borderId="69" applyAlignment="1" applyProtection="1" pivotButton="0" quotePrefix="0" xfId="0">
      <alignment vertical="center"/>
      <protection locked="0" hidden="0"/>
    </xf>
    <xf numFmtId="165" fontId="24" fillId="0" borderId="70" applyAlignment="1" applyProtection="1" pivotButton="0" quotePrefix="0" xfId="0">
      <alignment horizontal="center" vertical="center"/>
      <protection locked="0" hidden="0"/>
    </xf>
    <xf numFmtId="0" fontId="60" fillId="8" borderId="71" applyAlignment="1" applyProtection="1" pivotButton="0" quotePrefix="0" xfId="0">
      <alignment vertical="center"/>
      <protection locked="0" hidden="0"/>
    </xf>
    <xf numFmtId="165" fontId="24" fillId="0" borderId="72" applyAlignment="1" applyProtection="1" pivotButton="0" quotePrefix="0" xfId="0">
      <alignment horizontal="center" vertical="center"/>
      <protection locked="0" hidden="0"/>
    </xf>
    <xf numFmtId="0" fontId="60" fillId="8" borderId="73" applyAlignment="1" applyProtection="1" pivotButton="0" quotePrefix="0" xfId="0">
      <alignment vertical="center"/>
      <protection locked="0" hidden="0"/>
    </xf>
    <xf numFmtId="0" fontId="60" fillId="8" borderId="74" applyAlignment="1" applyProtection="1" pivotButton="0" quotePrefix="0" xfId="0">
      <alignment vertical="center"/>
      <protection locked="0" hidden="0"/>
    </xf>
    <xf numFmtId="165" fontId="25" fillId="7" borderId="78" applyAlignment="1" pivotButton="0" quotePrefix="0" xfId="1">
      <alignment horizontal="center" vertical="center"/>
    </xf>
    <xf numFmtId="0" fontId="17" fillId="5" borderId="79" applyAlignment="1" pivotButton="0" quotePrefix="0" xfId="0">
      <alignment horizontal="center" vertical="center" wrapText="1"/>
    </xf>
    <xf numFmtId="165" fontId="24" fillId="7" borderId="80" applyAlignment="1" pivotButton="0" quotePrefix="0" xfId="1">
      <alignment horizontal="center" vertical="center"/>
    </xf>
    <xf numFmtId="165" fontId="24" fillId="7" borderId="81" applyAlignment="1" pivotButton="0" quotePrefix="0" xfId="1">
      <alignment horizontal="center" vertical="center"/>
    </xf>
    <xf numFmtId="165" fontId="24" fillId="7" borderId="82" applyAlignment="1" pivotButton="0" quotePrefix="0" xfId="1">
      <alignment horizontal="center" vertical="center"/>
    </xf>
    <xf numFmtId="165" fontId="24" fillId="7" borderId="83" applyAlignment="1" pivotButton="0" quotePrefix="0" xfId="1">
      <alignment horizontal="center" vertical="center"/>
    </xf>
    <xf numFmtId="165" fontId="24" fillId="7" borderId="84" applyAlignment="1" pivotButton="0" quotePrefix="0" xfId="1">
      <alignment horizontal="center" vertical="center"/>
    </xf>
    <xf numFmtId="165" fontId="25" fillId="7" borderId="51" applyAlignment="1" pivotButton="0" quotePrefix="0" xfId="1">
      <alignment horizontal="center" vertical="center"/>
    </xf>
    <xf numFmtId="0" fontId="18" fillId="5" borderId="85" applyAlignment="1" pivotButton="0" quotePrefix="0" xfId="0">
      <alignment horizontal="center" vertical="center"/>
    </xf>
    <xf numFmtId="165" fontId="17" fillId="5" borderId="88" applyAlignment="1" pivotButton="0" quotePrefix="0" xfId="0">
      <alignment horizontal="center" vertical="center" wrapText="1"/>
    </xf>
    <xf numFmtId="0" fontId="60" fillId="8" borderId="89" applyAlignment="1" applyProtection="1" pivotButton="0" quotePrefix="0" xfId="0">
      <alignment vertical="center"/>
      <protection locked="0" hidden="0"/>
    </xf>
    <xf numFmtId="165" fontId="24" fillId="0" borderId="90" applyAlignment="1" applyProtection="1" pivotButton="0" quotePrefix="0" xfId="0">
      <alignment horizontal="center" vertical="center"/>
      <protection locked="0" hidden="0"/>
    </xf>
    <xf numFmtId="0" fontId="60" fillId="8" borderId="91" applyAlignment="1" applyProtection="1" pivotButton="0" quotePrefix="0" xfId="0">
      <alignment vertical="center"/>
      <protection locked="0" hidden="0"/>
    </xf>
    <xf numFmtId="0" fontId="60" fillId="8" borderId="92" applyAlignment="1" applyProtection="1" pivotButton="0" quotePrefix="0" xfId="0">
      <alignment vertical="center"/>
      <protection locked="0" hidden="0"/>
    </xf>
    <xf numFmtId="165" fontId="24" fillId="0" borderId="59" applyAlignment="1" applyProtection="1" pivotButton="0" quotePrefix="0" xfId="0">
      <alignment horizontal="center" vertical="center"/>
      <protection locked="0" hidden="0"/>
    </xf>
    <xf numFmtId="165" fontId="25" fillId="7" borderId="98" applyAlignment="1" pivotButton="0" quotePrefix="0" xfId="1">
      <alignment horizontal="center" vertical="center"/>
    </xf>
    <xf numFmtId="165" fontId="17" fillId="5" borderId="79" applyAlignment="1" pivotButton="0" quotePrefix="0" xfId="0">
      <alignment horizontal="center" vertical="center" wrapText="1"/>
    </xf>
    <xf numFmtId="165" fontId="24" fillId="7" borderId="99" applyAlignment="1" pivotButton="0" quotePrefix="0" xfId="1">
      <alignment horizontal="center" vertical="center"/>
    </xf>
    <xf numFmtId="165" fontId="24" fillId="7" borderId="100" applyAlignment="1" pivotButton="0" quotePrefix="0" xfId="1">
      <alignment horizontal="center" vertical="center"/>
    </xf>
    <xf numFmtId="165" fontId="24" fillId="7" borderId="101" applyAlignment="1" pivotButton="0" quotePrefix="0" xfId="1">
      <alignment horizontal="center" vertical="center"/>
    </xf>
    <xf numFmtId="165" fontId="18" fillId="3" borderId="102" applyAlignment="1" pivotButton="0" quotePrefix="0" xfId="0">
      <alignment horizontal="center" vertical="center"/>
    </xf>
    <xf numFmtId="165" fontId="11" fillId="7" borderId="84" applyAlignment="1" pivotButton="0" quotePrefix="0" xfId="1">
      <alignment horizontal="center" vertical="center"/>
    </xf>
    <xf numFmtId="0" fontId="9" fillId="0" borderId="56" applyAlignment="1" applyProtection="1" pivotButton="0" quotePrefix="0" xfId="0">
      <alignment horizontal="center" vertical="center"/>
      <protection locked="0" hidden="0"/>
    </xf>
    <xf numFmtId="9" fontId="7" fillId="7" borderId="109" applyAlignment="1" pivotButton="0" quotePrefix="0" xfId="3">
      <alignment horizontal="center"/>
    </xf>
    <xf numFmtId="0" fontId="17" fillId="5" borderId="104" applyAlignment="1" pivotButton="0" quotePrefix="0" xfId="0">
      <alignment horizontal="center" vertical="center"/>
    </xf>
    <xf numFmtId="0" fontId="17" fillId="5" borderId="110" applyAlignment="1" pivotButton="0" quotePrefix="0" xfId="0">
      <alignment horizontal="center" vertical="center"/>
    </xf>
    <xf numFmtId="0" fontId="17" fillId="5" borderId="106" applyAlignment="1" pivotButton="0" quotePrefix="0" xfId="0">
      <alignment horizontal="center" vertical="center"/>
    </xf>
    <xf numFmtId="0" fontId="59" fillId="8" borderId="67" applyAlignment="1" pivotButton="0" quotePrefix="0" xfId="0">
      <alignment horizontal="center"/>
    </xf>
    <xf numFmtId="0" fontId="59" fillId="8" borderId="71" applyAlignment="1" pivotButton="0" quotePrefix="0" xfId="0">
      <alignment horizontal="center"/>
    </xf>
    <xf numFmtId="0" fontId="59" fillId="8" borderId="73" applyAlignment="1" pivotButton="0" quotePrefix="0" xfId="0">
      <alignment horizontal="center"/>
    </xf>
    <xf numFmtId="0" fontId="59" fillId="8" borderId="93" applyAlignment="1" pivotButton="0" quotePrefix="0" xfId="0">
      <alignment horizontal="center"/>
    </xf>
    <xf numFmtId="0" fontId="64" fillId="0" borderId="111" applyAlignment="1" applyProtection="1" pivotButton="0" quotePrefix="0" xfId="0">
      <alignment horizontal="center" vertical="center"/>
      <protection locked="0" hidden="0"/>
    </xf>
    <xf numFmtId="0" fontId="17" fillId="5" borderId="112" applyAlignment="1" pivotButton="0" quotePrefix="0" xfId="0">
      <alignment horizontal="center" vertical="center" wrapText="1"/>
    </xf>
    <xf numFmtId="0" fontId="17" fillId="5" borderId="113" applyAlignment="1" pivotButton="0" quotePrefix="0" xfId="0">
      <alignment horizontal="center" vertical="center"/>
    </xf>
    <xf numFmtId="0" fontId="17" fillId="5" borderId="105" applyAlignment="1" pivotButton="0" quotePrefix="0" xfId="0">
      <alignment horizontal="center" vertical="center"/>
    </xf>
    <xf numFmtId="0" fontId="17" fillId="5" borderId="114" applyAlignment="1" pivotButton="0" quotePrefix="0" xfId="0">
      <alignment horizontal="center" vertical="center"/>
    </xf>
    <xf numFmtId="166" fontId="9" fillId="7" borderId="107" applyAlignment="1" pivotButton="0" quotePrefix="0" xfId="0">
      <alignment horizontal="center"/>
    </xf>
    <xf numFmtId="166" fontId="9" fillId="7" borderId="115" applyAlignment="1" pivotButton="0" quotePrefix="0" xfId="0">
      <alignment horizontal="center"/>
    </xf>
    <xf numFmtId="166" fontId="9" fillId="7" borderId="56" applyAlignment="1" pivotButton="0" quotePrefix="0" xfId="0">
      <alignment horizontal="center"/>
    </xf>
    <xf numFmtId="166" fontId="9" fillId="7" borderId="116" applyAlignment="1" pivotButton="0" quotePrefix="0" xfId="0">
      <alignment horizontal="center"/>
    </xf>
    <xf numFmtId="166" fontId="9" fillId="7" borderId="117" applyAlignment="1" pivotButton="0" quotePrefix="0" xfId="0">
      <alignment horizontal="center"/>
    </xf>
    <xf numFmtId="166" fontId="9" fillId="7" borderId="58" applyAlignment="1" pivotButton="0" quotePrefix="0" xfId="0">
      <alignment horizontal="center"/>
    </xf>
    <xf numFmtId="166" fontId="9" fillId="7" borderId="59" applyAlignment="1" pivotButton="0" quotePrefix="0" xfId="0">
      <alignment horizontal="center"/>
    </xf>
    <xf numFmtId="166" fontId="6" fillId="7" borderId="81" applyAlignment="1" pivotButton="0" quotePrefix="0" xfId="0">
      <alignment horizontal="center" vertical="center"/>
    </xf>
    <xf numFmtId="166" fontId="6" fillId="7" borderId="99" applyAlignment="1" pivotButton="0" quotePrefix="0" xfId="0">
      <alignment horizontal="center" vertical="center"/>
    </xf>
    <xf numFmtId="166" fontId="6" fillId="7" borderId="82" applyAlignment="1" pivotButton="0" quotePrefix="0" xfId="0">
      <alignment horizontal="center" vertical="center"/>
    </xf>
    <xf numFmtId="166" fontId="6" fillId="7" borderId="83" applyAlignment="1" pivotButton="0" quotePrefix="0" xfId="0">
      <alignment horizontal="center" vertical="center"/>
    </xf>
    <xf numFmtId="166" fontId="6" fillId="7" borderId="84" applyAlignment="1" pivotButton="0" quotePrefix="0" xfId="0">
      <alignment horizontal="center" vertical="center"/>
    </xf>
    <xf numFmtId="166" fontId="26" fillId="7" borderId="81" applyAlignment="1" pivotButton="0" quotePrefix="0" xfId="0">
      <alignment horizontal="center" vertical="center"/>
    </xf>
    <xf numFmtId="166" fontId="26" fillId="7" borderId="99" applyAlignment="1" pivotButton="0" quotePrefix="0" xfId="0">
      <alignment horizontal="center" vertical="center"/>
    </xf>
    <xf numFmtId="166" fontId="26" fillId="7" borderId="82" applyAlignment="1" pivotButton="0" quotePrefix="0" xfId="0">
      <alignment horizontal="center" vertical="center"/>
    </xf>
    <xf numFmtId="166" fontId="26" fillId="7" borderId="83" applyAlignment="1" pivotButton="0" quotePrefix="0" xfId="0">
      <alignment horizontal="center" vertical="center"/>
    </xf>
    <xf numFmtId="166" fontId="26" fillId="7" borderId="84" applyAlignment="1" pivotButton="0" quotePrefix="0" xfId="0">
      <alignment horizontal="center" vertical="center"/>
    </xf>
    <xf numFmtId="0" fontId="17" fillId="5" borderId="118" applyAlignment="1" pivotButton="0" quotePrefix="0" xfId="0">
      <alignment horizontal="center" vertical="center"/>
    </xf>
    <xf numFmtId="0" fontId="17" fillId="5" borderId="119" applyAlignment="1" pivotButton="0" quotePrefix="0" xfId="0">
      <alignment horizontal="center" vertical="center"/>
    </xf>
    <xf numFmtId="167" fontId="9" fillId="7" borderId="68" applyAlignment="1" pivotButton="0" quotePrefix="0" xfId="0">
      <alignment horizontal="center"/>
    </xf>
    <xf numFmtId="167" fontId="9" fillId="7" borderId="70" applyAlignment="1" pivotButton="0" quotePrefix="0" xfId="0">
      <alignment horizontal="center"/>
    </xf>
    <xf numFmtId="167" fontId="9" fillId="7" borderId="117" applyAlignment="1" pivotButton="0" quotePrefix="0" xfId="0">
      <alignment horizontal="center"/>
    </xf>
    <xf numFmtId="167" fontId="9" fillId="7" borderId="120" applyAlignment="1" pivotButton="0" quotePrefix="0" xfId="0">
      <alignment horizontal="center"/>
    </xf>
    <xf numFmtId="167" fontId="9" fillId="7" borderId="121" applyAlignment="1" pivotButton="0" quotePrefix="0" xfId="0">
      <alignment horizontal="center"/>
    </xf>
    <xf numFmtId="167" fontId="6" fillId="7" borderId="81" applyAlignment="1" pivotButton="0" quotePrefix="0" xfId="0">
      <alignment horizontal="center"/>
    </xf>
    <xf numFmtId="167" fontId="6" fillId="7" borderId="82" applyAlignment="1" pivotButton="0" quotePrefix="0" xfId="0">
      <alignment horizontal="center"/>
    </xf>
    <xf numFmtId="167" fontId="6" fillId="7" borderId="84" applyAlignment="1" pivotButton="0" quotePrefix="0" xfId="0">
      <alignment horizontal="center"/>
    </xf>
    <xf numFmtId="167" fontId="26" fillId="7" borderId="81" applyAlignment="1" pivotButton="0" quotePrefix="0" xfId="0">
      <alignment horizontal="center" vertical="center"/>
    </xf>
    <xf numFmtId="167" fontId="26" fillId="7" borderId="82" applyAlignment="1" pivotButton="0" quotePrefix="0" xfId="0">
      <alignment horizontal="center" vertical="center"/>
    </xf>
    <xf numFmtId="167" fontId="26" fillId="7" borderId="84" applyAlignment="1" pivotButton="0" quotePrefix="0" xfId="0">
      <alignment horizontal="center" vertical="center"/>
    </xf>
    <xf numFmtId="0" fontId="59" fillId="0" borderId="122" applyAlignment="1" pivotButton="0" quotePrefix="0" xfId="0">
      <alignment vertical="center"/>
    </xf>
    <xf numFmtId="0" fontId="18" fillId="5" borderId="104" applyAlignment="1" pivotButton="0" quotePrefix="0" xfId="0">
      <alignment horizontal="center" vertical="center"/>
    </xf>
    <xf numFmtId="0" fontId="17" fillId="5" borderId="110" applyAlignment="1" pivotButton="0" quotePrefix="0" xfId="0">
      <alignment horizontal="center" vertical="center" wrapText="1"/>
    </xf>
    <xf numFmtId="0" fontId="17" fillId="5" borderId="105" applyAlignment="1" pivotButton="0" quotePrefix="0" xfId="0">
      <alignment horizontal="center" vertical="center" wrapText="1"/>
    </xf>
    <xf numFmtId="0" fontId="60" fillId="6" borderId="71" applyAlignment="1" applyProtection="1" pivotButton="0" quotePrefix="0" xfId="0">
      <alignment vertical="center"/>
      <protection locked="0" hidden="0"/>
    </xf>
    <xf numFmtId="165" fontId="60" fillId="7" borderId="123" applyAlignment="1" pivotButton="0" quotePrefix="0" xfId="2">
      <alignment horizontal="center" vertical="center"/>
    </xf>
    <xf numFmtId="165" fontId="60" fillId="7" borderId="56" applyAlignment="1" pivotButton="0" quotePrefix="0" xfId="2">
      <alignment horizontal="center" vertical="center"/>
    </xf>
    <xf numFmtId="0" fontId="60" fillId="6" borderId="67" applyAlignment="1" applyProtection="1" pivotButton="0" quotePrefix="0" xfId="0">
      <alignment vertical="center"/>
      <protection locked="0" hidden="0"/>
    </xf>
    <xf numFmtId="165" fontId="60" fillId="7" borderId="107" applyAlignment="1" pivotButton="0" quotePrefix="0" xfId="2">
      <alignment horizontal="center" vertical="center"/>
    </xf>
    <xf numFmtId="165" fontId="60" fillId="7" borderId="115" applyAlignment="1" pivotButton="0" quotePrefix="0" xfId="2">
      <alignment horizontal="center" vertical="center"/>
    </xf>
    <xf numFmtId="0" fontId="60" fillId="6" borderId="124" applyAlignment="1" applyProtection="1" pivotButton="0" quotePrefix="0" xfId="0">
      <alignment vertical="center"/>
      <protection locked="0" hidden="0"/>
    </xf>
    <xf numFmtId="0" fontId="60" fillId="0" borderId="125" applyAlignment="1" applyProtection="1" pivotButton="0" quotePrefix="0" xfId="0">
      <alignment vertical="center"/>
      <protection locked="0" hidden="0"/>
    </xf>
    <xf numFmtId="165" fontId="60" fillId="0" borderId="94" applyAlignment="1" applyProtection="1" pivotButton="0" quotePrefix="0" xfId="0">
      <alignment horizontal="center" vertical="center"/>
      <protection locked="0" hidden="0"/>
    </xf>
    <xf numFmtId="165" fontId="60" fillId="0" borderId="117" applyAlignment="1" applyProtection="1" pivotButton="0" quotePrefix="0" xfId="0">
      <alignment horizontal="center" vertical="center"/>
      <protection locked="0" hidden="0"/>
    </xf>
    <xf numFmtId="165" fontId="60" fillId="7" borderId="59" applyAlignment="1" pivotButton="0" quotePrefix="0" xfId="2">
      <alignment horizontal="center" vertical="center"/>
    </xf>
    <xf numFmtId="165" fontId="61" fillId="7" borderId="128" applyAlignment="1" pivotButton="0" quotePrefix="0" xfId="1">
      <alignment horizontal="center" vertical="center"/>
    </xf>
    <xf numFmtId="165" fontId="61" fillId="7" borderId="129" applyAlignment="1" pivotButton="0" quotePrefix="0" xfId="1">
      <alignment horizontal="center" vertical="center"/>
    </xf>
    <xf numFmtId="165" fontId="61" fillId="7" borderId="97" applyAlignment="1" pivotButton="0" quotePrefix="0" xfId="1">
      <alignment horizontal="center" vertical="center"/>
    </xf>
    <xf numFmtId="165" fontId="61" fillId="7" borderId="127" applyAlignment="1" pivotButton="0" quotePrefix="0" xfId="1">
      <alignment horizontal="center" vertical="center"/>
    </xf>
    <xf numFmtId="165" fontId="61" fillId="7" borderId="98" applyAlignment="1" pivotButton="0" quotePrefix="0" xfId="2">
      <alignment horizontal="center" vertical="center"/>
    </xf>
    <xf numFmtId="165" fontId="60" fillId="7" borderId="116" applyAlignment="1" pivotButton="0" quotePrefix="0" xfId="2">
      <alignment horizontal="center" vertical="center"/>
    </xf>
    <xf numFmtId="0" fontId="60" fillId="6" borderId="93" applyAlignment="1" applyProtection="1" pivotButton="0" quotePrefix="0" xfId="0">
      <alignment vertical="center"/>
      <protection locked="0" hidden="0"/>
    </xf>
    <xf numFmtId="0" fontId="64" fillId="0" borderId="94" applyAlignment="1" applyProtection="1" pivotButton="0" quotePrefix="0" xfId="0">
      <alignment vertical="center"/>
      <protection locked="0" hidden="0"/>
    </xf>
    <xf numFmtId="165" fontId="60" fillId="0" borderId="94" applyAlignment="1" applyProtection="1" pivotButton="0" quotePrefix="0" xfId="2">
      <alignment horizontal="center" vertical="center"/>
      <protection locked="0" hidden="0"/>
    </xf>
    <xf numFmtId="165" fontId="61" fillId="7" borderId="127" applyAlignment="1" pivotButton="0" quotePrefix="0" xfId="2">
      <alignment horizontal="center" vertical="center"/>
    </xf>
    <xf numFmtId="165" fontId="61" fillId="7" borderId="128" applyAlignment="1" pivotButton="0" quotePrefix="0" xfId="2">
      <alignment horizontal="center" vertical="center"/>
    </xf>
    <xf numFmtId="165" fontId="61" fillId="7" borderId="129" applyAlignment="1" pivotButton="0" quotePrefix="0" xfId="2">
      <alignment horizontal="center" vertical="center"/>
    </xf>
    <xf numFmtId="165" fontId="61" fillId="7" borderId="130" applyAlignment="1" pivotButton="0" quotePrefix="0" xfId="2">
      <alignment horizontal="center" vertical="center"/>
    </xf>
    <xf numFmtId="165" fontId="61" fillId="7" borderId="78" applyAlignment="1" pivotButton="0" quotePrefix="0" xfId="2">
      <alignment horizontal="center" vertical="center"/>
    </xf>
    <xf numFmtId="0" fontId="17" fillId="5" borderId="131" applyAlignment="1" pivotButton="0" quotePrefix="0" xfId="0">
      <alignment horizontal="right" vertical="center"/>
    </xf>
    <xf numFmtId="165" fontId="61" fillId="7" borderId="132" applyAlignment="1" pivotButton="0" quotePrefix="0" xfId="2">
      <alignment horizontal="center" vertical="center"/>
    </xf>
    <xf numFmtId="0" fontId="17" fillId="5" borderId="131" applyAlignment="1" pivotButton="0" quotePrefix="0" xfId="0">
      <alignment horizontal="right" vertical="center" wrapText="1"/>
    </xf>
    <xf numFmtId="165" fontId="61" fillId="2" borderId="97" applyAlignment="1" applyProtection="1" pivotButton="0" quotePrefix="0" xfId="2">
      <alignment horizontal="center" vertical="center"/>
      <protection locked="0" hidden="0"/>
    </xf>
    <xf numFmtId="165" fontId="61" fillId="7" borderId="97" applyAlignment="1" pivotButton="0" quotePrefix="0" xfId="2">
      <alignment horizontal="center" vertical="center"/>
    </xf>
    <xf numFmtId="0" fontId="39" fillId="9" borderId="2" applyAlignment="1" pivotButton="0" quotePrefix="0" xfId="0">
      <alignment horizontal="center"/>
    </xf>
    <xf numFmtId="166" fontId="39" fillId="9" borderId="2" applyAlignment="1" pivotButton="0" quotePrefix="0" xfId="0">
      <alignment horizontal="center"/>
    </xf>
    <xf numFmtId="9" fontId="39" fillId="9" borderId="2" applyAlignment="1" pivotButton="0" quotePrefix="0" xfId="3">
      <alignment horizontal="center"/>
    </xf>
    <xf numFmtId="0" fontId="39" fillId="9" borderId="2" applyAlignment="1" pivotButton="0" quotePrefix="0" xfId="0">
      <alignment horizontal="center" vertical="center"/>
    </xf>
    <xf numFmtId="167" fontId="39" fillId="9" borderId="2" applyAlignment="1" pivotButton="0" quotePrefix="0" xfId="0">
      <alignment horizontal="center"/>
    </xf>
    <xf numFmtId="0" fontId="17" fillId="10" borderId="2" applyAlignment="1" pivotButton="0" quotePrefix="0" xfId="0">
      <alignment horizontal="center" vertical="center"/>
    </xf>
    <xf numFmtId="0" fontId="17" fillId="10" borderId="3" applyAlignment="1" pivotButton="0" quotePrefix="0" xfId="0">
      <alignment horizontal="center" vertical="center"/>
    </xf>
    <xf numFmtId="0" fontId="17" fillId="10" borderId="2" applyAlignment="1" pivotButton="0" quotePrefix="0" xfId="0">
      <alignment horizontal="center"/>
    </xf>
    <xf numFmtId="0" fontId="5" fillId="2" borderId="0" pivotButton="0" quotePrefix="0" xfId="0"/>
    <xf numFmtId="0" fontId="11" fillId="0" borderId="0" applyAlignment="1" pivotButton="0" quotePrefix="0" xfId="0">
      <alignment horizontal="center"/>
    </xf>
    <xf numFmtId="0" fontId="5" fillId="0" borderId="0" pivotButton="0" quotePrefix="0" xfId="0"/>
    <xf numFmtId="0" fontId="41" fillId="0" borderId="0" applyAlignment="1" pivotButton="0" quotePrefix="0" xfId="0">
      <alignment vertical="center"/>
    </xf>
    <xf numFmtId="0" fontId="10" fillId="2" borderId="0" applyAlignment="1" pivotButton="0" quotePrefix="0" xfId="0">
      <alignment horizontal="left" vertical="center"/>
    </xf>
    <xf numFmtId="0" fontId="6" fillId="0" borderId="0" applyAlignment="1" pivotButton="0" quotePrefix="0" xfId="0">
      <alignment horizontal="center"/>
    </xf>
    <xf numFmtId="0" fontId="6" fillId="2" borderId="1" applyAlignment="1" pivotButton="0" quotePrefix="0" xfId="0">
      <alignment horizontal="left" vertical="center"/>
    </xf>
    <xf numFmtId="165" fontId="15" fillId="2" borderId="0" pivotButton="0" quotePrefix="0" xfId="0"/>
    <xf numFmtId="0" fontId="9" fillId="0" borderId="0" pivotButton="0" quotePrefix="0" xfId="0"/>
    <xf numFmtId="165" fontId="9" fillId="0" borderId="0" pivotButton="0" quotePrefix="0" xfId="1"/>
    <xf numFmtId="0" fontId="12" fillId="2" borderId="0" applyAlignment="1" pivotButton="0" quotePrefix="0" xfId="0">
      <alignment vertical="center"/>
    </xf>
    <xf numFmtId="0" fontId="16" fillId="2" borderId="0" applyAlignment="1" pivotButton="0" quotePrefix="0" xfId="0">
      <alignment vertical="center"/>
    </xf>
    <xf numFmtId="0" fontId="16" fillId="0" borderId="0" applyAlignment="1" pivotButton="0" quotePrefix="0" xfId="0">
      <alignment vertical="center"/>
    </xf>
    <xf numFmtId="0" fontId="12" fillId="0" borderId="0" applyAlignment="1" pivotButton="0" quotePrefix="0" xfId="0">
      <alignment vertical="center"/>
    </xf>
    <xf numFmtId="0" fontId="8" fillId="2" borderId="0" pivotButton="0" quotePrefix="0" xfId="0"/>
    <xf numFmtId="0" fontId="2" fillId="2" borderId="0" pivotButton="0" quotePrefix="0" xfId="0"/>
    <xf numFmtId="0" fontId="2" fillId="0" borderId="0" pivotButton="0" quotePrefix="0" xfId="0"/>
    <xf numFmtId="0" fontId="41" fillId="2" borderId="0" applyAlignment="1" pivotButton="0" quotePrefix="0" xfId="0">
      <alignment vertical="center"/>
    </xf>
    <xf numFmtId="0" fontId="6" fillId="7" borderId="39" applyAlignment="1" pivotButton="0" quotePrefix="0" xfId="0">
      <alignment horizontal="left" vertical="center"/>
    </xf>
    <xf numFmtId="0" fontId="60" fillId="0" borderId="2" applyAlignment="1" pivotButton="0" quotePrefix="0" xfId="0">
      <alignment vertical="center" wrapText="1"/>
    </xf>
    <xf numFmtId="0" fontId="6" fillId="0" borderId="39" applyAlignment="1" pivotButton="0" quotePrefix="0" xfId="0">
      <alignment horizontal="left" vertical="center"/>
    </xf>
    <xf numFmtId="0" fontId="6" fillId="2" borderId="0" applyAlignment="1" pivotButton="0" quotePrefix="0" xfId="0">
      <alignment horizontal="left" vertical="center"/>
    </xf>
    <xf numFmtId="0" fontId="24" fillId="2" borderId="0" applyAlignment="1" pivotButton="0" quotePrefix="0" xfId="0">
      <alignment vertical="center" wrapText="1"/>
    </xf>
    <xf numFmtId="0" fontId="62" fillId="2" borderId="0" pivotButton="0" quotePrefix="0" xfId="0"/>
    <xf numFmtId="0" fontId="10" fillId="2" borderId="0" pivotButton="0" quotePrefix="0" xfId="0"/>
    <xf numFmtId="0" fontId="17" fillId="5" borderId="104" applyAlignment="1" pivotButton="0" quotePrefix="0" xfId="0">
      <alignment horizontal="center"/>
    </xf>
    <xf numFmtId="0" fontId="17" fillId="5" borderId="105" applyAlignment="1" pivotButton="0" quotePrefix="0" xfId="0">
      <alignment horizontal="center"/>
    </xf>
    <xf numFmtId="0" fontId="17" fillId="5" borderId="106" applyAlignment="1" pivotButton="0" quotePrefix="0" xfId="0">
      <alignment horizontal="center"/>
    </xf>
    <xf numFmtId="0" fontId="59" fillId="8" borderId="73" applyAlignment="1" pivotButton="0" quotePrefix="0" xfId="0">
      <alignment horizontal="left"/>
    </xf>
    <xf numFmtId="0" fontId="59" fillId="8" borderId="67" applyAlignment="1" pivotButton="0" quotePrefix="0" xfId="0">
      <alignment horizontal="left"/>
    </xf>
    <xf numFmtId="0" fontId="59" fillId="8" borderId="108" applyAlignment="1" pivotButton="0" quotePrefix="0" xfId="0">
      <alignment horizontal="left"/>
    </xf>
    <xf numFmtId="0" fontId="9" fillId="2" borderId="0" applyAlignment="1" pivotButton="0" quotePrefix="0" xfId="0">
      <alignment horizontal="center"/>
    </xf>
    <xf numFmtId="169" fontId="6" fillId="2" borderId="0" applyAlignment="1" pivotButton="0" quotePrefix="0" xfId="0">
      <alignment horizontal="center" vertical="center"/>
    </xf>
    <xf numFmtId="0" fontId="63" fillId="2" borderId="0" pivotButton="0" quotePrefix="0" xfId="0"/>
    <xf numFmtId="0" fontId="6" fillId="2" borderId="0" applyAlignment="1" pivotButton="0" quotePrefix="0" xfId="0">
      <alignment vertical="center"/>
    </xf>
    <xf numFmtId="0" fontId="6" fillId="0" borderId="0" applyAlignment="1" pivotButton="0" quotePrefix="0" xfId="0">
      <alignment vertical="center"/>
    </xf>
    <xf numFmtId="0" fontId="33" fillId="2" borderId="0" pivotButton="0" quotePrefix="0" xfId="0"/>
    <xf numFmtId="0" fontId="2" fillId="2" borderId="0" applyAlignment="1" pivotButton="0" quotePrefix="0" xfId="0">
      <alignment horizontal="center"/>
    </xf>
    <xf numFmtId="1" fontId="71" fillId="11" borderId="99" applyAlignment="1" pivotButton="0" quotePrefix="0" xfId="0">
      <alignment horizontal="center" vertical="center"/>
    </xf>
    <xf numFmtId="1" fontId="71" fillId="11" borderId="82" applyAlignment="1" pivotButton="0" quotePrefix="0" xfId="0">
      <alignment horizontal="center" vertical="center"/>
    </xf>
    <xf numFmtId="1" fontId="71" fillId="11" borderId="81" applyAlignment="1" pivotButton="0" quotePrefix="0" xfId="0">
      <alignment horizontal="center" vertical="center"/>
    </xf>
    <xf numFmtId="1" fontId="71" fillId="11" borderId="84" applyAlignment="1" pivotButton="0" quotePrefix="0" xfId="0">
      <alignment horizontal="center" vertical="center"/>
    </xf>
    <xf numFmtId="0" fontId="6" fillId="0" borderId="103" applyAlignment="1" applyProtection="1" pivotButton="0" quotePrefix="0" xfId="0">
      <alignment horizontal="center"/>
      <protection locked="0" hidden="0"/>
    </xf>
    <xf numFmtId="0" fontId="9" fillId="2" borderId="1" applyAlignment="1" pivotButton="0" quotePrefix="0" xfId="0">
      <alignment horizontal="center"/>
    </xf>
    <xf numFmtId="0" fontId="3" fillId="2" borderId="0" pivotButton="0" quotePrefix="0" xfId="0"/>
    <xf numFmtId="0" fontId="23" fillId="2" borderId="0" applyAlignment="1" pivotButton="0" quotePrefix="0" xfId="0">
      <alignment vertical="center"/>
    </xf>
    <xf numFmtId="0" fontId="10" fillId="2" borderId="0" applyAlignment="1" pivotButton="0" quotePrefix="0" xfId="0">
      <alignment vertical="center"/>
    </xf>
    <xf numFmtId="0" fontId="11" fillId="2" borderId="0" applyAlignment="1" pivotButton="0" quotePrefix="0" xfId="0">
      <alignment horizontal="center"/>
    </xf>
    <xf numFmtId="0" fontId="6" fillId="2" borderId="1" applyAlignment="1" pivotButton="0" quotePrefix="0" xfId="0">
      <alignment horizontal="center"/>
    </xf>
    <xf numFmtId="0" fontId="9" fillId="2" borderId="0" applyAlignment="1" pivotButton="0" quotePrefix="0" xfId="0">
      <alignment horizontal="left"/>
    </xf>
    <xf numFmtId="0" fontId="6" fillId="2" borderId="0" applyAlignment="1" pivotButton="0" quotePrefix="0" xfId="0">
      <alignment horizontal="centerContinuous"/>
    </xf>
    <xf numFmtId="0" fontId="3" fillId="2" borderId="0" applyAlignment="1" pivotButton="0" quotePrefix="0" xfId="0">
      <alignment vertical="center"/>
    </xf>
    <xf numFmtId="0" fontId="60" fillId="6" borderId="71" applyAlignment="1" pivotButton="0" quotePrefix="0" xfId="0">
      <alignment vertical="center"/>
    </xf>
    <xf numFmtId="0" fontId="3" fillId="0" borderId="0" pivotButton="0" quotePrefix="0" xfId="0"/>
    <xf numFmtId="0" fontId="60" fillId="6" borderId="73" applyAlignment="1" pivotButton="0" quotePrefix="0" xfId="0">
      <alignment vertical="center"/>
    </xf>
    <xf numFmtId="0" fontId="60" fillId="6" borderId="67" applyAlignment="1" pivotButton="0" quotePrefix="0" xfId="0">
      <alignment vertical="center"/>
    </xf>
    <xf numFmtId="0" fontId="7" fillId="2" borderId="0" pivotButton="0" quotePrefix="0" xfId="0"/>
    <xf numFmtId="0" fontId="7" fillId="0" borderId="0" pivotButton="0" quotePrefix="0" xfId="0"/>
    <xf numFmtId="0" fontId="60" fillId="6" borderId="73" applyAlignment="1" pivotButton="0" quotePrefix="0" xfId="0">
      <alignment horizontal="left" vertical="center" wrapText="1"/>
    </xf>
    <xf numFmtId="0" fontId="60" fillId="6" borderId="67" applyAlignment="1" pivotButton="0" quotePrefix="0" xfId="0">
      <alignment horizontal="left" vertical="center" wrapText="1"/>
    </xf>
    <xf numFmtId="0" fontId="60" fillId="6" borderId="71" applyAlignment="1" pivotButton="0" quotePrefix="0" xfId="0">
      <alignment horizontal="left" vertical="center" wrapText="1"/>
    </xf>
    <xf numFmtId="0" fontId="60" fillId="6" borderId="69" applyAlignment="1" pivotButton="0" quotePrefix="0" xfId="0">
      <alignment horizontal="left" vertical="center" wrapText="1"/>
    </xf>
    <xf numFmtId="0" fontId="60" fillId="6" borderId="69" applyAlignment="1" pivotButton="0" quotePrefix="0" xfId="0">
      <alignment vertical="center"/>
    </xf>
    <xf numFmtId="0" fontId="3" fillId="0" borderId="0" applyAlignment="1" pivotButton="0" quotePrefix="0" xfId="0">
      <alignment vertical="center"/>
    </xf>
    <xf numFmtId="165" fontId="15" fillId="2" borderId="0" applyAlignment="1" pivotButton="0" quotePrefix="0" xfId="1">
      <alignment horizontal="center" vertical="center"/>
    </xf>
    <xf numFmtId="165" fontId="14" fillId="2" borderId="0" applyAlignment="1" pivotButton="0" quotePrefix="0" xfId="2">
      <alignment horizontal="center" vertical="center"/>
    </xf>
    <xf numFmtId="0" fontId="7" fillId="2" borderId="0" applyAlignment="1" pivotButton="0" quotePrefix="0" xfId="0">
      <alignment wrapText="1"/>
    </xf>
    <xf numFmtId="0" fontId="1" fillId="0" borderId="0" pivotButton="0" quotePrefix="0" xfId="0"/>
    <xf numFmtId="0" fontId="35" fillId="2" borderId="0" applyAlignment="1" pivotButton="0" quotePrefix="0" xfId="0">
      <alignment horizontal="left" vertical="top" wrapText="1"/>
    </xf>
    <xf numFmtId="0" fontId="14" fillId="2" borderId="0" applyAlignment="1" pivotButton="0" quotePrefix="0" xfId="0">
      <alignment horizontal="right" vertical="top"/>
    </xf>
    <xf numFmtId="0" fontId="60" fillId="2" borderId="0" applyAlignment="1" pivotButton="0" quotePrefix="0" xfId="0">
      <alignment vertical="center" wrapText="1"/>
    </xf>
    <xf numFmtId="0" fontId="39" fillId="0" borderId="0" applyAlignment="1" pivotButton="0" quotePrefix="0" xfId="6">
      <alignment horizontal="right"/>
    </xf>
    <xf numFmtId="0" fontId="74" fillId="2" borderId="0" applyAlignment="1" applyProtection="1" pivotButton="0" quotePrefix="0" xfId="0">
      <alignment horizontal="right" vertical="top"/>
      <protection locked="0" hidden="0"/>
    </xf>
    <xf numFmtId="0" fontId="58" fillId="0" borderId="0" applyAlignment="1" pivotButton="0" quotePrefix="0" xfId="0">
      <alignment horizontal="left" wrapText="1"/>
    </xf>
    <xf numFmtId="1" fontId="1" fillId="0" borderId="0" applyAlignment="1" pivotButton="0" quotePrefix="0" xfId="11">
      <alignment horizontal="right"/>
    </xf>
    <xf numFmtId="14" fontId="1" fillId="0" borderId="0" applyAlignment="1" pivotButton="0" quotePrefix="0" xfId="12">
      <alignment horizontal="right"/>
    </xf>
    <xf numFmtId="168" fontId="1" fillId="0" borderId="0" applyAlignment="1" pivotButton="0" quotePrefix="0" xfId="9">
      <alignment horizontal="right"/>
    </xf>
    <xf numFmtId="0" fontId="1" fillId="2" borderId="0" pivotButton="0" quotePrefix="0" xfId="0"/>
    <xf numFmtId="0" fontId="1" fillId="2" borderId="1" pivotButton="0" quotePrefix="0" xfId="0"/>
    <xf numFmtId="0" fontId="1" fillId="2" borderId="1" applyAlignment="1" pivotButton="0" quotePrefix="0" xfId="0">
      <alignment wrapText="1"/>
    </xf>
    <xf numFmtId="165" fontId="1" fillId="2" borderId="0" pivotButton="0" quotePrefix="0" xfId="0"/>
    <xf numFmtId="0" fontId="1" fillId="2" borderId="51" pivotButton="0" quotePrefix="0" xfId="0"/>
    <xf numFmtId="14" fontId="1" fillId="2" borderId="0" pivotButton="0" quotePrefix="0" xfId="0"/>
    <xf numFmtId="0" fontId="1" fillId="2" borderId="33" pivotButton="0" quotePrefix="0" xfId="0"/>
    <xf numFmtId="0" fontId="1" fillId="2" borderId="34" pivotButton="0" quotePrefix="0" xfId="0"/>
    <xf numFmtId="0" fontId="1" fillId="2" borderId="0" applyAlignment="1" pivotButton="0" quotePrefix="0" xfId="0">
      <alignment horizontal="center"/>
    </xf>
    <xf numFmtId="0" fontId="1" fillId="2" borderId="35" pivotButton="0" quotePrefix="0" xfId="0"/>
    <xf numFmtId="0" fontId="1" fillId="2" borderId="36" pivotButton="0" quotePrefix="0" xfId="0"/>
    <xf numFmtId="0" fontId="1" fillId="2" borderId="38" pivotButton="0" quotePrefix="0" xfId="0"/>
    <xf numFmtId="0" fontId="1" fillId="2" borderId="37" pivotButton="0" quotePrefix="0" xfId="0"/>
    <xf numFmtId="0" fontId="1" fillId="0" borderId="34" pivotButton="0" quotePrefix="0" xfId="0"/>
    <xf numFmtId="0" fontId="1" fillId="2" borderId="40" pivotButton="0" quotePrefix="0" xfId="0"/>
    <xf numFmtId="0" fontId="1" fillId="2" borderId="0" applyAlignment="1" pivotButton="0" quotePrefix="0" xfId="0">
      <alignment vertical="center"/>
    </xf>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60" fillId="11" borderId="10" applyAlignment="1" applyProtection="1" pivotButton="0" quotePrefix="0" xfId="0">
      <alignment horizontal="center" vertical="center"/>
      <protection locked="0" hidden="0"/>
    </xf>
    <xf numFmtId="0" fontId="58" fillId="0" borderId="55" applyAlignment="1" pivotButton="0" quotePrefix="0" xfId="0">
      <alignment horizontal="left" wrapText="1"/>
    </xf>
    <xf numFmtId="0" fontId="58" fillId="0" borderId="56" applyAlignment="1" pivotButton="0" quotePrefix="0" xfId="0">
      <alignment horizontal="left" wrapText="1"/>
    </xf>
    <xf numFmtId="0" fontId="42" fillId="2" borderId="0" applyAlignment="1" pivotButton="0" quotePrefix="0" xfId="0">
      <alignment horizontal="right"/>
    </xf>
    <xf numFmtId="0" fontId="42" fillId="2" borderId="133" applyAlignment="1" pivotButton="0" quotePrefix="0" xfId="0">
      <alignment horizontal="left"/>
    </xf>
    <xf numFmtId="0" fontId="42" fillId="2" borderId="82" applyAlignment="1" pivotButton="0" quotePrefix="0" xfId="0">
      <alignment horizontal="left"/>
    </xf>
    <xf numFmtId="167" fontId="42" fillId="11" borderId="84" applyAlignment="1" pivotButton="0" quotePrefix="0" xfId="0">
      <alignment horizontal="left"/>
    </xf>
    <xf numFmtId="165" fontId="60" fillId="11" borderId="8" applyAlignment="1" applyProtection="1" pivotButton="0" quotePrefix="0" xfId="2">
      <alignment horizontal="center" vertical="center"/>
      <protection locked="0" hidden="0"/>
    </xf>
    <xf numFmtId="0" fontId="61" fillId="0" borderId="133" applyAlignment="1" applyProtection="1" pivotButton="0" quotePrefix="0" xfId="0">
      <alignment horizontal="center" vertical="center" wrapText="1"/>
      <protection locked="0" hidden="0"/>
    </xf>
    <xf numFmtId="0" fontId="39" fillId="2" borderId="0" pivotButton="0" quotePrefix="0" xfId="0"/>
    <xf numFmtId="9" fontId="39" fillId="2" borderId="0" pivotButton="0" quotePrefix="0" xfId="0"/>
    <xf numFmtId="0" fontId="56" fillId="2" borderId="0" applyAlignment="1" pivotButton="0" quotePrefix="0" xfId="0">
      <alignment horizontal="left" vertical="top"/>
    </xf>
    <xf numFmtId="0" fontId="40" fillId="2" borderId="0" applyAlignment="1" pivotButton="0" quotePrefix="0" xfId="0">
      <alignment horizontal="left" vertical="top" wrapText="1"/>
    </xf>
    <xf numFmtId="0" fontId="44" fillId="2" borderId="0" applyAlignment="1" pivotButton="0" quotePrefix="0" xfId="0">
      <alignment horizontal="left" vertical="top" wrapText="1"/>
    </xf>
    <xf numFmtId="1" fontId="59" fillId="11" borderId="99" applyAlignment="1" pivotButton="0" quotePrefix="0" xfId="0">
      <alignment horizontal="center" vertical="center"/>
    </xf>
    <xf numFmtId="1" fontId="59" fillId="11" borderId="82" applyAlignment="1" pivotButton="0" quotePrefix="0" xfId="0">
      <alignment horizontal="center" vertical="center"/>
    </xf>
    <xf numFmtId="1" fontId="59" fillId="11" borderId="81" applyAlignment="1" pivotButton="0" quotePrefix="0" xfId="0">
      <alignment horizontal="center" vertical="center"/>
    </xf>
    <xf numFmtId="1" fontId="59" fillId="11" borderId="84" applyAlignment="1" pivotButton="0" quotePrefix="0" xfId="0">
      <alignment horizontal="center" vertical="center"/>
    </xf>
    <xf numFmtId="0" fontId="41" fillId="2" borderId="0" applyAlignment="1" applyProtection="1" pivotButton="0" quotePrefix="0" xfId="0">
      <alignment vertical="center"/>
      <protection locked="0" hidden="0"/>
    </xf>
    <xf numFmtId="0" fontId="27" fillId="2" borderId="0" applyAlignment="1" pivotButton="0" quotePrefix="0" xfId="0">
      <alignment vertical="center" wrapText="1"/>
    </xf>
    <xf numFmtId="0" fontId="15" fillId="0" borderId="0" applyAlignment="1" pivotButton="0" quotePrefix="0" xfId="0">
      <alignment horizontal="left" vertical="top" wrapText="1"/>
    </xf>
    <xf numFmtId="0" fontId="58" fillId="0" borderId="52" applyAlignment="1" pivotButton="0" quotePrefix="0" xfId="0">
      <alignment vertical="top" wrapText="1"/>
    </xf>
    <xf numFmtId="0" fontId="58" fillId="0" borderId="53" applyAlignment="1" pivotButton="0" quotePrefix="0" xfId="0">
      <alignment vertical="top" wrapText="1"/>
    </xf>
    <xf numFmtId="0" fontId="58" fillId="0" borderId="54" applyAlignment="1" pivotButton="0" quotePrefix="0" xfId="0">
      <alignment vertical="top" wrapText="1"/>
    </xf>
    <xf numFmtId="0" fontId="58" fillId="0" borderId="55" applyAlignment="1" pivotButton="0" quotePrefix="0" xfId="0">
      <alignment vertical="top" wrapText="1"/>
    </xf>
    <xf numFmtId="0" fontId="58" fillId="0" borderId="0" applyAlignment="1" pivotButton="0" quotePrefix="0" xfId="0">
      <alignment vertical="top" wrapText="1"/>
    </xf>
    <xf numFmtId="0" fontId="58" fillId="0" borderId="56" applyAlignment="1" pivotButton="0" quotePrefix="0" xfId="0">
      <alignment vertical="top" wrapText="1"/>
    </xf>
    <xf numFmtId="0" fontId="58" fillId="0" borderId="0" applyAlignment="1" pivotButton="0" quotePrefix="0" xfId="0">
      <alignment horizontal="left" vertical="top" wrapText="1"/>
    </xf>
    <xf numFmtId="0" fontId="60" fillId="0" borderId="84" applyAlignment="1" applyProtection="1" pivotButton="0" quotePrefix="0" xfId="0">
      <alignment horizontal="center" vertical="center" wrapText="1"/>
      <protection locked="0" hidden="0"/>
    </xf>
    <xf numFmtId="0" fontId="60" fillId="0" borderId="155" applyAlignment="1" applyProtection="1" pivotButton="0" quotePrefix="0" xfId="0">
      <alignment horizontal="center" vertical="center" wrapText="1"/>
      <protection locked="0" hidden="0"/>
    </xf>
    <xf numFmtId="0" fontId="60" fillId="0" borderId="163" applyAlignment="1" applyProtection="1" pivotButton="0" quotePrefix="0" xfId="0">
      <alignment horizontal="center" vertical="center" wrapText="1"/>
      <protection locked="0" hidden="0"/>
    </xf>
    <xf numFmtId="165" fontId="24" fillId="0" borderId="175" applyAlignment="1" applyProtection="1" pivotButton="0" quotePrefix="0" xfId="0">
      <alignment horizontal="center" vertical="center"/>
      <protection locked="0" hidden="0"/>
    </xf>
    <xf numFmtId="165" fontId="24" fillId="0" borderId="176" applyAlignment="1" applyProtection="1" pivotButton="0" quotePrefix="0" xfId="0">
      <alignment horizontal="center" vertical="center"/>
      <protection locked="0" hidden="0"/>
    </xf>
    <xf numFmtId="165" fontId="24" fillId="0" borderId="177" applyAlignment="1" applyProtection="1" pivotButton="0" quotePrefix="0" xfId="0">
      <alignment horizontal="center" vertical="center"/>
      <protection locked="0" hidden="0"/>
    </xf>
    <xf numFmtId="166" fontId="9" fillId="7" borderId="8" applyAlignment="1" pivotButton="0" quotePrefix="0" xfId="0">
      <alignment horizontal="center"/>
    </xf>
    <xf numFmtId="0" fontId="59" fillId="8" borderId="69" applyAlignment="1" pivotButton="0" quotePrefix="0" xfId="0">
      <alignment horizontal="center"/>
    </xf>
    <xf numFmtId="0" fontId="64" fillId="2" borderId="0" applyProtection="1" pivotButton="0" quotePrefix="0" xfId="0">
      <protection locked="0" hidden="0"/>
    </xf>
    <xf numFmtId="0" fontId="64" fillId="2" borderId="184" applyAlignment="1" applyProtection="1" pivotButton="0" quotePrefix="0" xfId="0">
      <alignment horizontal="center"/>
      <protection locked="0" hidden="0"/>
    </xf>
    <xf numFmtId="0" fontId="64" fillId="2" borderId="0" applyAlignment="1" applyProtection="1" pivotButton="0" quotePrefix="0" xfId="0">
      <alignment horizontal="center"/>
      <protection locked="0" hidden="0"/>
    </xf>
    <xf numFmtId="0" fontId="78" fillId="2" borderId="0" applyProtection="1" pivotButton="0" quotePrefix="0" xfId="0">
      <protection locked="0" hidden="0"/>
    </xf>
    <xf numFmtId="0" fontId="79" fillId="2" borderId="0" applyAlignment="1" applyProtection="1" pivotButton="0" quotePrefix="0" xfId="0">
      <alignment vertical="center"/>
      <protection locked="0" hidden="0"/>
    </xf>
    <xf numFmtId="0" fontId="62" fillId="2" borderId="0" applyAlignment="1" applyProtection="1" pivotButton="0" quotePrefix="0" xfId="0">
      <alignment vertical="center"/>
      <protection locked="0" hidden="0"/>
    </xf>
    <xf numFmtId="0" fontId="62" fillId="2" borderId="0" applyAlignment="1" applyProtection="1" pivotButton="0" quotePrefix="0" xfId="0">
      <alignment horizontal="left" vertical="center"/>
      <protection locked="0" hidden="0"/>
    </xf>
    <xf numFmtId="0" fontId="78" fillId="2" borderId="0" applyAlignment="1" applyProtection="1" pivotButton="0" quotePrefix="0" xfId="0">
      <alignment horizontal="center"/>
      <protection locked="0" hidden="0"/>
    </xf>
    <xf numFmtId="0" fontId="64" fillId="2" borderId="185" applyAlignment="1" applyProtection="1" pivotButton="0" quotePrefix="0" xfId="0">
      <alignment vertical="center"/>
      <protection locked="0" hidden="0"/>
    </xf>
    <xf numFmtId="0" fontId="59" fillId="2" borderId="0" applyAlignment="1" applyProtection="1" pivotButton="0" quotePrefix="0" xfId="0">
      <alignment horizontal="center"/>
      <protection locked="0" hidden="0"/>
    </xf>
    <xf numFmtId="0" fontId="61" fillId="0" borderId="0" pivotButton="0" quotePrefix="0" xfId="0"/>
    <xf numFmtId="0" fontId="61" fillId="2" borderId="0" pivotButton="0" quotePrefix="0" xfId="0"/>
    <xf numFmtId="0" fontId="78" fillId="2" borderId="0" pivotButton="0" quotePrefix="0" xfId="0"/>
    <xf numFmtId="164" fontId="64" fillId="2" borderId="0" applyAlignment="1" applyProtection="1" pivotButton="0" quotePrefix="0" xfId="1">
      <alignment horizontal="center" vertical="center"/>
      <protection locked="0" hidden="0"/>
    </xf>
    <xf numFmtId="0" fontId="80" fillId="2" borderId="0" applyAlignment="1" applyProtection="1" pivotButton="0" quotePrefix="0" xfId="0">
      <alignment horizontal="centerContinuous" vertical="center"/>
      <protection locked="0" hidden="0"/>
    </xf>
    <xf numFmtId="0" fontId="61" fillId="11" borderId="185" applyAlignment="1" pivotButton="0" quotePrefix="0" xfId="0">
      <alignment horizontal="center"/>
    </xf>
    <xf numFmtId="0" fontId="61" fillId="2" borderId="185" applyAlignment="1" pivotButton="0" quotePrefix="0" xfId="0">
      <alignment horizontal="left" vertical="center"/>
    </xf>
    <xf numFmtId="0" fontId="59" fillId="2" borderId="184" applyAlignment="1" applyProtection="1" pivotButton="0" quotePrefix="0" xfId="0">
      <alignment horizontal="left" vertical="center"/>
      <protection locked="0" hidden="0"/>
    </xf>
    <xf numFmtId="0" fontId="59" fillId="2" borderId="184" applyAlignment="1" applyProtection="1" pivotButton="0" quotePrefix="0" xfId="0">
      <alignment horizontal="center"/>
      <protection locked="0" hidden="0"/>
    </xf>
    <xf numFmtId="0" fontId="64" fillId="2" borderId="184" applyProtection="1" pivotButton="0" quotePrefix="0" xfId="0">
      <protection locked="0" hidden="0"/>
    </xf>
    <xf numFmtId="0" fontId="64" fillId="2" borderId="0" applyAlignment="1" applyProtection="1" pivotButton="0" quotePrefix="0" xfId="0">
      <alignment horizontal="left"/>
      <protection locked="0" hidden="0"/>
    </xf>
    <xf numFmtId="0" fontId="64" fillId="2" borderId="13" applyAlignment="1" applyProtection="1" pivotButton="0" quotePrefix="0" xfId="0">
      <alignment horizontal="left"/>
      <protection locked="0" hidden="0"/>
    </xf>
    <xf numFmtId="0" fontId="59" fillId="0" borderId="185" applyAlignment="1" pivotButton="0" quotePrefix="0" xfId="0">
      <alignment vertical="center"/>
    </xf>
    <xf numFmtId="0" fontId="59" fillId="2" borderId="185" applyAlignment="1" pivotButton="0" quotePrefix="0" xfId="0">
      <alignment horizontal="center"/>
    </xf>
    <xf numFmtId="0" fontId="59" fillId="2" borderId="0" applyAlignment="1" applyProtection="1" pivotButton="0" quotePrefix="0" xfId="0">
      <alignment horizontal="centerContinuous"/>
      <protection locked="0" hidden="0"/>
    </xf>
    <xf numFmtId="0" fontId="59" fillId="2" borderId="13" pivotButton="0" quotePrefix="0" xfId="0"/>
    <xf numFmtId="0" fontId="59" fillId="2" borderId="21" applyAlignment="1" pivotButton="0" quotePrefix="0" xfId="0">
      <alignment horizontal="center"/>
    </xf>
    <xf numFmtId="0" fontId="81" fillId="2" borderId="0" applyAlignment="1" pivotButton="0" quotePrefix="0" xfId="0">
      <alignment horizontal="center"/>
    </xf>
    <xf numFmtId="0" fontId="64" fillId="2" borderId="10" applyAlignment="1" applyProtection="1" pivotButton="0" quotePrefix="0" xfId="0">
      <alignment vertical="center"/>
      <protection locked="0" hidden="0"/>
    </xf>
    <xf numFmtId="0" fontId="18" fillId="12" borderId="185" applyAlignment="1" pivotButton="0" quotePrefix="0" xfId="0">
      <alignment horizontal="center" vertical="center"/>
    </xf>
    <xf numFmtId="0" fontId="17" fillId="12" borderId="185" applyAlignment="1" pivotButton="0" quotePrefix="0" xfId="0">
      <alignment horizontal="center" vertical="center" wrapText="1"/>
    </xf>
    <xf numFmtId="0" fontId="17" fillId="12" borderId="185" applyAlignment="1" pivotButton="0" quotePrefix="0" xfId="0">
      <alignment horizontal="center" vertical="center"/>
    </xf>
    <xf numFmtId="0" fontId="64" fillId="2" borderId="0" applyAlignment="1" applyProtection="1" pivotButton="0" quotePrefix="0" xfId="0">
      <alignment vertical="center"/>
      <protection locked="0" hidden="0"/>
    </xf>
    <xf numFmtId="0" fontId="64" fillId="2" borderId="10" applyProtection="1" pivotButton="0" quotePrefix="0" xfId="0">
      <protection locked="0" hidden="0"/>
    </xf>
    <xf numFmtId="0" fontId="60" fillId="13" borderId="185" applyAlignment="1" applyProtection="1" pivotButton="0" quotePrefix="0" xfId="0">
      <alignment vertical="center"/>
      <protection locked="0" hidden="0"/>
    </xf>
    <xf numFmtId="0" fontId="60" fillId="2" borderId="185" applyAlignment="1" applyProtection="1" pivotButton="0" quotePrefix="0" xfId="0">
      <alignment vertical="center"/>
      <protection locked="0" hidden="0"/>
    </xf>
    <xf numFmtId="165" fontId="60" fillId="2" borderId="185" applyAlignment="1" applyProtection="1" pivotButton="0" quotePrefix="0" xfId="0">
      <alignment horizontal="center" vertical="center"/>
      <protection locked="0" hidden="0"/>
    </xf>
    <xf numFmtId="170" fontId="60" fillId="2" borderId="185" applyAlignment="1" pivotButton="0" quotePrefix="0" xfId="0">
      <alignment horizontal="center" vertical="center"/>
    </xf>
    <xf numFmtId="165" fontId="60" fillId="11" borderId="185" applyAlignment="1" pivotButton="0" quotePrefix="0" xfId="2">
      <alignment horizontal="center" vertical="center"/>
    </xf>
    <xf numFmtId="0" fontId="64" fillId="0" borderId="0" applyProtection="1" pivotButton="0" quotePrefix="0" xfId="0">
      <protection locked="0" hidden="0"/>
    </xf>
    <xf numFmtId="0" fontId="59" fillId="2" borderId="10" applyProtection="1" pivotButton="0" quotePrefix="0" xfId="0">
      <protection locked="0" hidden="0"/>
    </xf>
    <xf numFmtId="165" fontId="61" fillId="11" borderId="185" applyAlignment="1" pivotButton="0" quotePrefix="0" xfId="1">
      <alignment horizontal="center" vertical="center"/>
    </xf>
    <xf numFmtId="165" fontId="61" fillId="11" borderId="185" applyAlignment="1" pivotButton="0" quotePrefix="0" xfId="2">
      <alignment horizontal="center" vertical="center"/>
    </xf>
    <xf numFmtId="0" fontId="59" fillId="2" borderId="0" applyProtection="1" pivotButton="0" quotePrefix="0" xfId="0">
      <protection locked="0" hidden="0"/>
    </xf>
    <xf numFmtId="0" fontId="59" fillId="0" borderId="0" applyProtection="1" pivotButton="0" quotePrefix="0" xfId="0">
      <protection locked="0" hidden="0"/>
    </xf>
    <xf numFmtId="3" fontId="64" fillId="2" borderId="0" applyProtection="1" pivotButton="0" quotePrefix="0" xfId="0">
      <protection locked="0" hidden="0"/>
    </xf>
    <xf numFmtId="164" fontId="59" fillId="2" borderId="0" applyProtection="1" pivotButton="0" quotePrefix="0" xfId="1">
      <protection locked="0" hidden="0"/>
    </xf>
    <xf numFmtId="0" fontId="64" fillId="2" borderId="0" pivotButton="0" quotePrefix="0" xfId="0"/>
    <xf numFmtId="3" fontId="64" fillId="2" borderId="0" pivotButton="0" quotePrefix="0" xfId="0"/>
    <xf numFmtId="164" fontId="59" fillId="2" borderId="0" pivotButton="0" quotePrefix="0" xfId="1"/>
    <xf numFmtId="0" fontId="60" fillId="13" borderId="185" applyAlignment="1" applyProtection="1" pivotButton="0" quotePrefix="0" xfId="0">
      <alignment horizontal="left" vertical="center" wrapText="1"/>
      <protection locked="0" hidden="0"/>
    </xf>
    <xf numFmtId="165" fontId="60" fillId="2" borderId="185" applyAlignment="1" applyProtection="1" pivotButton="0" quotePrefix="0" xfId="2">
      <alignment horizontal="center" vertical="center"/>
      <protection locked="0" hidden="0"/>
    </xf>
    <xf numFmtId="165" fontId="60" fillId="2" borderId="185" applyAlignment="1" pivotButton="0" quotePrefix="0" xfId="2">
      <alignment horizontal="center" vertical="center"/>
    </xf>
    <xf numFmtId="170" fontId="60" fillId="11" borderId="185" applyAlignment="1" pivotButton="0" quotePrefix="0" xfId="0">
      <alignment horizontal="center" vertical="center"/>
    </xf>
    <xf numFmtId="0" fontId="64" fillId="0" borderId="0" applyAlignment="1" applyProtection="1" pivotButton="0" quotePrefix="0" xfId="0">
      <alignment vertical="center"/>
      <protection locked="0" hidden="0"/>
    </xf>
    <xf numFmtId="165" fontId="60" fillId="2" borderId="0" applyAlignment="1" applyProtection="1" pivotButton="0" quotePrefix="0" xfId="0">
      <alignment horizontal="center" vertical="center"/>
      <protection locked="0" hidden="0"/>
    </xf>
    <xf numFmtId="165" fontId="60" fillId="2" borderId="0" applyAlignment="1" applyProtection="1" pivotButton="0" quotePrefix="0" xfId="1">
      <alignment horizontal="center" vertical="center"/>
      <protection locked="0" hidden="0"/>
    </xf>
    <xf numFmtId="0" fontId="17" fillId="12" borderId="185" applyAlignment="1" pivotButton="0" quotePrefix="0" xfId="0">
      <alignment horizontal="right" vertical="center"/>
    </xf>
    <xf numFmtId="0" fontId="64" fillId="2" borderId="0" applyAlignment="1" applyProtection="1" pivotButton="0" quotePrefix="0" xfId="0">
      <alignment horizontal="right" vertical="center"/>
      <protection locked="0" hidden="0"/>
    </xf>
    <xf numFmtId="165" fontId="61" fillId="2" borderId="0" applyAlignment="1" applyProtection="1" pivotButton="0" quotePrefix="0" xfId="2">
      <alignment horizontal="center" vertical="center"/>
      <protection locked="0" hidden="0"/>
    </xf>
    <xf numFmtId="0" fontId="17" fillId="12" borderId="185" applyAlignment="1" pivotButton="0" quotePrefix="0" xfId="0">
      <alignment horizontal="right" vertical="center" wrapText="1"/>
    </xf>
    <xf numFmtId="165" fontId="61" fillId="2" borderId="185" applyAlignment="1" applyProtection="1" pivotButton="0" quotePrefix="0" xfId="2">
      <alignment horizontal="center" vertical="center"/>
      <protection locked="0" hidden="0"/>
    </xf>
    <xf numFmtId="0" fontId="59" fillId="2" borderId="0" applyAlignment="1" applyProtection="1" pivotButton="0" quotePrefix="0" xfId="0">
      <alignment wrapText="1"/>
      <protection locked="0" hidden="0"/>
    </xf>
    <xf numFmtId="0" fontId="59" fillId="2" borderId="0" applyAlignment="1" applyProtection="1" pivotButton="0" quotePrefix="0" xfId="0">
      <alignment horizontal="right" vertical="center" wrapText="1"/>
      <protection locked="0" hidden="0"/>
    </xf>
    <xf numFmtId="171" fontId="42" fillId="11" borderId="82" applyAlignment="1" pivotButton="0" quotePrefix="0" xfId="3">
      <alignment horizontal="left"/>
    </xf>
    <xf numFmtId="0" fontId="61" fillId="0" borderId="95" applyAlignment="1" pivotButton="0" quotePrefix="0" xfId="0">
      <alignment horizontal="left" vertical="center"/>
    </xf>
    <xf numFmtId="0" fontId="61" fillId="0" borderId="96" applyAlignment="1" pivotButton="0" quotePrefix="0" xfId="0">
      <alignment horizontal="left" vertical="center"/>
    </xf>
    <xf numFmtId="0" fontId="61" fillId="0" borderId="78" applyAlignment="1" pivotButton="0" quotePrefix="0" xfId="0">
      <alignment horizontal="left" vertical="center"/>
    </xf>
    <xf numFmtId="0" fontId="60" fillId="2" borderId="95" applyAlignment="1" applyProtection="1" pivotButton="0" quotePrefix="0" xfId="0">
      <alignment horizontal="left" vertical="top"/>
      <protection locked="0" hidden="0"/>
    </xf>
    <xf numFmtId="0" fontId="60" fillId="2" borderId="96" applyAlignment="1" applyProtection="1" pivotButton="0" quotePrefix="0" xfId="0">
      <alignment horizontal="left" vertical="top"/>
      <protection locked="0" hidden="0"/>
    </xf>
    <xf numFmtId="0" fontId="60" fillId="2" borderId="78" applyAlignment="1" applyProtection="1" pivotButton="0" quotePrefix="0" xfId="0">
      <alignment horizontal="left" vertical="top"/>
      <protection locked="0" hidden="0"/>
    </xf>
    <xf numFmtId="0" fontId="60" fillId="0" borderId="4" applyAlignment="1" pivotButton="0" quotePrefix="0" xfId="0">
      <alignment vertical="center" wrapText="1"/>
    </xf>
    <xf numFmtId="0" fontId="18" fillId="5" borderId="126" applyAlignment="1" pivotButton="0" quotePrefix="0" xfId="0">
      <alignment horizontal="center" vertical="center"/>
    </xf>
    <xf numFmtId="0" fontId="18" fillId="5" borderId="127" applyAlignment="1" pivotButton="0" quotePrefix="0" xfId="0">
      <alignment horizontal="center" vertical="center"/>
    </xf>
    <xf numFmtId="0" fontId="18" fillId="5" borderId="98" applyAlignment="1" pivotButton="0" quotePrefix="0" xfId="0">
      <alignment horizontal="center" vertical="center"/>
    </xf>
    <xf numFmtId="0" fontId="35" fillId="5" borderId="95" applyAlignment="1" pivotButton="0" quotePrefix="0" xfId="0">
      <alignment horizontal="right" vertical="center"/>
    </xf>
    <xf numFmtId="0" fontId="35" fillId="5" borderId="97" applyAlignment="1" pivotButton="0" quotePrefix="0" xfId="0">
      <alignment horizontal="right" vertical="center"/>
    </xf>
    <xf numFmtId="0" fontId="35" fillId="12" borderId="95" applyAlignment="1" pivotButton="0" quotePrefix="0" xfId="0">
      <alignment horizontal="right" vertical="center"/>
    </xf>
    <xf numFmtId="0" fontId="35" fillId="12" borderId="97" applyAlignment="1" pivotButton="0" quotePrefix="0" xfId="0">
      <alignment horizontal="right" vertical="center"/>
    </xf>
    <xf numFmtId="0" fontId="0" fillId="2" borderId="141" applyAlignment="1" applyProtection="1" pivotButton="0" quotePrefix="0" xfId="0">
      <alignment horizontal="left" vertical="top" wrapText="1"/>
      <protection locked="0" hidden="0"/>
    </xf>
    <xf numFmtId="0" fontId="0" fillId="2" borderId="0" applyAlignment="1" applyProtection="1" pivotButton="0" quotePrefix="0" xfId="0">
      <alignment horizontal="left" vertical="top" wrapText="1"/>
      <protection locked="0" hidden="0"/>
    </xf>
    <xf numFmtId="0" fontId="42" fillId="0" borderId="52" applyAlignment="1" pivotButton="0" quotePrefix="0" xfId="0">
      <alignment horizontal="left" vertical="center" wrapText="1"/>
    </xf>
    <xf numFmtId="0" fontId="9" fillId="0" borderId="53" applyAlignment="1" pivotButton="0" quotePrefix="0" xfId="0">
      <alignment horizontal="left" vertical="center"/>
    </xf>
    <xf numFmtId="0" fontId="9" fillId="0" borderId="54" applyAlignment="1" pivotButton="0" quotePrefix="0" xfId="0">
      <alignment horizontal="left" vertical="center"/>
    </xf>
    <xf numFmtId="0" fontId="9" fillId="0" borderId="55" applyAlignment="1" pivotButton="0" quotePrefix="0" xfId="0">
      <alignment horizontal="left" vertical="center"/>
    </xf>
    <xf numFmtId="0" fontId="9" fillId="0" borderId="0" applyAlignment="1" pivotButton="0" quotePrefix="0" xfId="0">
      <alignment horizontal="left" vertical="center"/>
    </xf>
    <xf numFmtId="0" fontId="9" fillId="0" borderId="56" applyAlignment="1" pivotButton="0" quotePrefix="0" xfId="0">
      <alignment horizontal="left" vertical="center"/>
    </xf>
    <xf numFmtId="0" fontId="9" fillId="0" borderId="57" applyAlignment="1" pivotButton="0" quotePrefix="0" xfId="0">
      <alignment horizontal="left" vertical="center"/>
    </xf>
    <xf numFmtId="0" fontId="9" fillId="0" borderId="58" applyAlignment="1" pivotButton="0" quotePrefix="0" xfId="0">
      <alignment horizontal="left" vertical="center"/>
    </xf>
    <xf numFmtId="0" fontId="9" fillId="0" borderId="59" applyAlignment="1" pivotButton="0" quotePrefix="0" xfId="0">
      <alignment horizontal="left" vertical="center"/>
    </xf>
    <xf numFmtId="0" fontId="60" fillId="0" borderId="39" applyAlignment="1" pivotButton="0" quotePrefix="0" xfId="0">
      <alignment horizontal="center" vertical="center" wrapText="1"/>
    </xf>
    <xf numFmtId="0" fontId="60" fillId="0" borderId="5" applyAlignment="1" pivotButton="0" quotePrefix="0" xfId="0">
      <alignment horizontal="center" vertical="center" wrapText="1"/>
    </xf>
    <xf numFmtId="0" fontId="19" fillId="5" borderId="95" applyAlignment="1" pivotButton="0" quotePrefix="0" xfId="0">
      <alignment horizontal="left" vertical="center"/>
    </xf>
    <xf numFmtId="0" fontId="19" fillId="5" borderId="96" applyAlignment="1" pivotButton="0" quotePrefix="0" xfId="0">
      <alignment horizontal="left" vertical="center"/>
    </xf>
    <xf numFmtId="0" fontId="19" fillId="5" borderId="78" applyAlignment="1" pivotButton="0" quotePrefix="0" xfId="0">
      <alignment horizontal="left" vertical="center"/>
    </xf>
    <xf numFmtId="0" fontId="56" fillId="2" borderId="20" applyAlignment="1" pivotButton="0" quotePrefix="0" xfId="0">
      <alignment horizontal="left" vertical="top" wrapText="1"/>
    </xf>
    <xf numFmtId="0" fontId="57" fillId="2" borderId="0" applyAlignment="1" pivotButton="0" quotePrefix="0" xfId="0">
      <alignment horizontal="left" vertical="top" wrapText="1"/>
    </xf>
    <xf numFmtId="0" fontId="65" fillId="6" borderId="0" applyAlignment="1" pivotButton="0" quotePrefix="0" xfId="0">
      <alignment horizontal="center" vertical="top"/>
    </xf>
    <xf numFmtId="0" fontId="56" fillId="2" borderId="0" applyAlignment="1" pivotButton="0" quotePrefix="0" xfId="0">
      <alignment horizontal="left" vertical="top" wrapText="1"/>
    </xf>
    <xf numFmtId="0" fontId="56" fillId="2" borderId="0" applyAlignment="1" pivotButton="0" quotePrefix="0" xfId="0">
      <alignment horizontal="left" vertical="top"/>
    </xf>
    <xf numFmtId="0" fontId="0" fillId="2" borderId="143" applyAlignment="1" applyProtection="1" pivotButton="0" quotePrefix="0" xfId="0">
      <alignment horizontal="left" vertical="top" wrapText="1"/>
      <protection locked="0" hidden="0"/>
    </xf>
    <xf numFmtId="0" fontId="0" fillId="2" borderId="142" applyAlignment="1" applyProtection="1" pivotButton="0" quotePrefix="0" xfId="0">
      <alignment horizontal="left" vertical="top" wrapText="1"/>
      <protection locked="0" hidden="0"/>
    </xf>
    <xf numFmtId="0" fontId="47" fillId="2" borderId="0" applyAlignment="1" pivotButton="0" quotePrefix="0" xfId="0">
      <alignment horizontal="left" vertical="top" wrapText="1"/>
    </xf>
    <xf numFmtId="0" fontId="48" fillId="2" borderId="28" applyAlignment="1" pivotButton="0" quotePrefix="0" xfId="0">
      <alignment horizontal="left" vertical="top" wrapText="1"/>
    </xf>
    <xf numFmtId="0" fontId="49" fillId="2" borderId="29" applyAlignment="1" pivotButton="0" quotePrefix="0" xfId="0">
      <alignment horizontal="left" vertical="top" wrapText="1"/>
    </xf>
    <xf numFmtId="0" fontId="49" fillId="2" borderId="30" applyAlignment="1" pivotButton="0" quotePrefix="0" xfId="0">
      <alignment horizontal="left" vertical="top" wrapText="1"/>
    </xf>
    <xf numFmtId="0" fontId="0" fillId="0" borderId="0" applyAlignment="1" pivotButton="0" quotePrefix="0" xfId="0">
      <alignment horizontal="left" vertical="top"/>
    </xf>
    <xf numFmtId="0" fontId="60" fillId="0" borderId="52" applyAlignment="1" applyProtection="1" pivotButton="0" quotePrefix="0" xfId="0">
      <alignment horizontal="left" vertical="top" wrapText="1"/>
      <protection locked="0" hidden="0"/>
    </xf>
    <xf numFmtId="0" fontId="60" fillId="0" borderId="53" applyAlignment="1" applyProtection="1" pivotButton="0" quotePrefix="0" xfId="0">
      <alignment horizontal="left" vertical="top" wrapText="1"/>
      <protection locked="0" hidden="0"/>
    </xf>
    <xf numFmtId="0" fontId="60" fillId="0" borderId="54" applyAlignment="1" applyProtection="1" pivotButton="0" quotePrefix="0" xfId="0">
      <alignment horizontal="left" vertical="top" wrapText="1"/>
      <protection locked="0" hidden="0"/>
    </xf>
    <xf numFmtId="0" fontId="60" fillId="0" borderId="55" applyAlignment="1" applyProtection="1" pivotButton="0" quotePrefix="0" xfId="0">
      <alignment horizontal="left" vertical="top" wrapText="1"/>
      <protection locked="0" hidden="0"/>
    </xf>
    <xf numFmtId="0" fontId="60" fillId="0" borderId="0" applyAlignment="1" applyProtection="1" pivotButton="0" quotePrefix="0" xfId="0">
      <alignment horizontal="left" vertical="top" wrapText="1"/>
      <protection locked="0" hidden="0"/>
    </xf>
    <xf numFmtId="0" fontId="60" fillId="0" borderId="56" applyAlignment="1" applyProtection="1" pivotButton="0" quotePrefix="0" xfId="0">
      <alignment horizontal="left" vertical="top" wrapText="1"/>
      <protection locked="0" hidden="0"/>
    </xf>
    <xf numFmtId="0" fontId="60" fillId="0" borderId="57" applyAlignment="1" applyProtection="1" pivotButton="0" quotePrefix="0" xfId="0">
      <alignment horizontal="left" vertical="top" wrapText="1"/>
      <protection locked="0" hidden="0"/>
    </xf>
    <xf numFmtId="0" fontId="60" fillId="0" borderId="58" applyAlignment="1" applyProtection="1" pivotButton="0" quotePrefix="0" xfId="0">
      <alignment horizontal="left" vertical="top" wrapText="1"/>
      <protection locked="0" hidden="0"/>
    </xf>
    <xf numFmtId="0" fontId="60" fillId="0" borderId="59" applyAlignment="1" applyProtection="1" pivotButton="0" quotePrefix="0" xfId="0">
      <alignment horizontal="left" vertical="top" wrapText="1"/>
      <protection locked="0" hidden="0"/>
    </xf>
    <xf numFmtId="0" fontId="58" fillId="0" borderId="52" applyAlignment="1" pivotButton="0" quotePrefix="0" xfId="0">
      <alignment horizontal="left" vertical="top" wrapText="1"/>
    </xf>
    <xf numFmtId="0" fontId="58" fillId="0" borderId="53" applyAlignment="1" pivotButton="0" quotePrefix="0" xfId="0">
      <alignment horizontal="left" vertical="top"/>
    </xf>
    <xf numFmtId="0" fontId="58" fillId="0" borderId="54" applyAlignment="1" pivotButton="0" quotePrefix="0" xfId="0">
      <alignment horizontal="left" vertical="top"/>
    </xf>
    <xf numFmtId="0" fontId="58" fillId="0" borderId="55" applyAlignment="1" pivotButton="0" quotePrefix="0" xfId="0">
      <alignment horizontal="left" vertical="top"/>
    </xf>
    <xf numFmtId="0" fontId="58" fillId="0" borderId="0" applyAlignment="1" pivotButton="0" quotePrefix="0" xfId="0">
      <alignment horizontal="left" vertical="top"/>
    </xf>
    <xf numFmtId="0" fontId="58" fillId="0" borderId="56" applyAlignment="1" pivotButton="0" quotePrefix="0" xfId="0">
      <alignment horizontal="left" vertical="top"/>
    </xf>
    <xf numFmtId="0" fontId="58" fillId="0" borderId="57" applyAlignment="1" pivotButton="0" quotePrefix="0" xfId="0">
      <alignment horizontal="left" vertical="top"/>
    </xf>
    <xf numFmtId="0" fontId="58" fillId="0" borderId="58" applyAlignment="1" pivotButton="0" quotePrefix="0" xfId="0">
      <alignment horizontal="left" vertical="top"/>
    </xf>
    <xf numFmtId="0" fontId="58" fillId="0" borderId="59" applyAlignment="1" pivotButton="0" quotePrefix="0" xfId="0">
      <alignment horizontal="left" vertical="top"/>
    </xf>
    <xf numFmtId="0" fontId="27" fillId="5" borderId="52" applyAlignment="1" pivotButton="0" quotePrefix="0" xfId="0">
      <alignment horizontal="left" vertical="center" wrapText="1"/>
    </xf>
    <xf numFmtId="0" fontId="27" fillId="5" borderId="53" applyAlignment="1" pivotButton="0" quotePrefix="0" xfId="0">
      <alignment horizontal="left" vertical="center" wrapText="1"/>
    </xf>
    <xf numFmtId="0" fontId="27" fillId="5" borderId="54" applyAlignment="1" pivotButton="0" quotePrefix="0" xfId="0">
      <alignment horizontal="left" vertical="center" wrapText="1"/>
    </xf>
    <xf numFmtId="0" fontId="27" fillId="5" borderId="55" applyAlignment="1" pivotButton="0" quotePrefix="0" xfId="0">
      <alignment horizontal="left" vertical="center" wrapText="1"/>
    </xf>
    <xf numFmtId="0" fontId="27" fillId="5" borderId="0" applyAlignment="1" pivotButton="0" quotePrefix="0" xfId="0">
      <alignment horizontal="left" vertical="center" wrapText="1"/>
    </xf>
    <xf numFmtId="0" fontId="27" fillId="5" borderId="56" applyAlignment="1" pivotButton="0" quotePrefix="0" xfId="0">
      <alignment horizontal="left" vertical="center" wrapText="1"/>
    </xf>
    <xf numFmtId="0" fontId="27" fillId="5" borderId="57" applyAlignment="1" pivotButton="0" quotePrefix="0" xfId="0">
      <alignment horizontal="left" vertical="center" wrapText="1"/>
    </xf>
    <xf numFmtId="0" fontId="27" fillId="5" borderId="58" applyAlignment="1" pivotButton="0" quotePrefix="0" xfId="0">
      <alignment horizontal="left" vertical="center" wrapText="1"/>
    </xf>
    <xf numFmtId="0" fontId="27" fillId="5" borderId="59" applyAlignment="1" pivotButton="0" quotePrefix="0" xfId="0">
      <alignment horizontal="left" vertical="center" wrapText="1"/>
    </xf>
    <xf numFmtId="0" fontId="0" fillId="5" borderId="52" applyAlignment="1" pivotButton="0" quotePrefix="0" xfId="0">
      <alignment horizontal="center"/>
    </xf>
    <xf numFmtId="0" fontId="0" fillId="5" borderId="53" applyAlignment="1" pivotButton="0" quotePrefix="0" xfId="0">
      <alignment horizontal="center"/>
    </xf>
    <xf numFmtId="0" fontId="0" fillId="5" borderId="54" applyAlignment="1" pivotButton="0" quotePrefix="0" xfId="0">
      <alignment horizontal="center"/>
    </xf>
    <xf numFmtId="0" fontId="0" fillId="5" borderId="55" applyAlignment="1" pivotButton="0" quotePrefix="0" xfId="0">
      <alignment horizontal="center"/>
    </xf>
    <xf numFmtId="0" fontId="0" fillId="5" borderId="0" applyAlignment="1" pivotButton="0" quotePrefix="0" xfId="0">
      <alignment horizontal="center"/>
    </xf>
    <xf numFmtId="0" fontId="0" fillId="5" borderId="56" applyAlignment="1" pivotButton="0" quotePrefix="0" xfId="0">
      <alignment horizontal="center"/>
    </xf>
    <xf numFmtId="0" fontId="0" fillId="5" borderId="57" applyAlignment="1" pivotButton="0" quotePrefix="0" xfId="0">
      <alignment horizontal="center"/>
    </xf>
    <xf numFmtId="0" fontId="0" fillId="5" borderId="58" applyAlignment="1" pivotButton="0" quotePrefix="0" xfId="0">
      <alignment horizontal="center"/>
    </xf>
    <xf numFmtId="0" fontId="0" fillId="5" borderId="59" applyAlignment="1" pivotButton="0" quotePrefix="0" xfId="0">
      <alignment horizontal="center"/>
    </xf>
    <xf numFmtId="0" fontId="61" fillId="7" borderId="52" applyAlignment="1" pivotButton="0" quotePrefix="0" xfId="0">
      <alignment horizontal="left" vertical="center" wrapText="1"/>
    </xf>
    <xf numFmtId="0" fontId="61" fillId="7" borderId="53" applyAlignment="1" pivotButton="0" quotePrefix="0" xfId="0">
      <alignment horizontal="left" vertical="center" wrapText="1"/>
    </xf>
    <xf numFmtId="0" fontId="61" fillId="7" borderId="54" applyAlignment="1" pivotButton="0" quotePrefix="0" xfId="0">
      <alignment horizontal="left" vertical="center" wrapText="1"/>
    </xf>
    <xf numFmtId="0" fontId="0" fillId="7" borderId="52" applyAlignment="1" pivotButton="0" quotePrefix="0" xfId="0">
      <alignment horizontal="center"/>
    </xf>
    <xf numFmtId="0" fontId="0" fillId="7" borderId="53" applyAlignment="1" pivotButton="0" quotePrefix="0" xfId="0">
      <alignment horizontal="center"/>
    </xf>
    <xf numFmtId="0" fontId="0" fillId="7" borderId="54" applyAlignment="1" pivotButton="0" quotePrefix="0" xfId="0">
      <alignment horizontal="center"/>
    </xf>
    <xf numFmtId="0" fontId="0" fillId="7" borderId="55" applyAlignment="1" pivotButton="0" quotePrefix="0" xfId="0">
      <alignment horizontal="center"/>
    </xf>
    <xf numFmtId="0" fontId="0" fillId="7" borderId="0" applyAlignment="1" pivotButton="0" quotePrefix="0" xfId="0">
      <alignment horizontal="center"/>
    </xf>
    <xf numFmtId="0" fontId="0" fillId="7" borderId="56" applyAlignment="1" pivotButton="0" quotePrefix="0" xfId="0">
      <alignment horizontal="center"/>
    </xf>
    <xf numFmtId="0" fontId="0" fillId="7" borderId="57" applyAlignment="1" pivotButton="0" quotePrefix="0" xfId="0">
      <alignment horizontal="center"/>
    </xf>
    <xf numFmtId="0" fontId="0" fillId="7" borderId="58" applyAlignment="1" pivotButton="0" quotePrefix="0" xfId="0">
      <alignment horizontal="center"/>
    </xf>
    <xf numFmtId="0" fontId="0" fillId="7" borderId="59" applyAlignment="1" pivotButton="0" quotePrefix="0" xfId="0">
      <alignment horizontal="center"/>
    </xf>
    <xf numFmtId="0" fontId="61" fillId="7" borderId="55" applyAlignment="1" pivotButton="0" quotePrefix="0" xfId="0">
      <alignment horizontal="left" vertical="center" wrapText="1"/>
    </xf>
    <xf numFmtId="0" fontId="61" fillId="7" borderId="0" applyAlignment="1" pivotButton="0" quotePrefix="0" xfId="0">
      <alignment horizontal="left" vertical="center" wrapText="1"/>
    </xf>
    <xf numFmtId="0" fontId="61" fillId="7" borderId="56" applyAlignment="1" pivotButton="0" quotePrefix="0" xfId="0">
      <alignment horizontal="left" vertical="center" wrapText="1"/>
    </xf>
    <xf numFmtId="0" fontId="69" fillId="7" borderId="55" applyAlignment="1" pivotButton="0" quotePrefix="0" xfId="0">
      <alignment horizontal="left" vertical="center" wrapText="1"/>
    </xf>
    <xf numFmtId="0" fontId="69" fillId="7" borderId="0" applyAlignment="1" pivotButton="0" quotePrefix="0" xfId="0">
      <alignment horizontal="left" vertical="center" wrapText="1"/>
    </xf>
    <xf numFmtId="0" fontId="69" fillId="7" borderId="56" applyAlignment="1" pivotButton="0" quotePrefix="0" xfId="0">
      <alignment horizontal="left" vertical="center" wrapText="1"/>
    </xf>
    <xf numFmtId="0" fontId="69" fillId="7" borderId="57" applyAlignment="1" pivotButton="0" quotePrefix="0" xfId="0">
      <alignment horizontal="left" vertical="center" wrapText="1"/>
    </xf>
    <xf numFmtId="0" fontId="69" fillId="7" borderId="58" applyAlignment="1" pivotButton="0" quotePrefix="0" xfId="0">
      <alignment horizontal="left" vertical="center" wrapText="1"/>
    </xf>
    <xf numFmtId="0" fontId="69" fillId="7" borderId="59" applyAlignment="1" pivotButton="0" quotePrefix="0" xfId="0">
      <alignment horizontal="left" vertical="center" wrapText="1"/>
    </xf>
    <xf numFmtId="0" fontId="61" fillId="7" borderId="144" applyAlignment="1" pivotButton="0" quotePrefix="0" xfId="0">
      <alignment horizontal="left" vertical="center" wrapText="1"/>
    </xf>
    <xf numFmtId="0" fontId="61" fillId="7" borderId="145" applyAlignment="1" pivotButton="0" quotePrefix="0" xfId="0">
      <alignment horizontal="left" vertical="center" wrapText="1"/>
    </xf>
    <xf numFmtId="0" fontId="61" fillId="7" borderId="146" applyAlignment="1" pivotButton="0" quotePrefix="0" xfId="0">
      <alignment horizontal="left" vertical="center" wrapText="1"/>
    </xf>
    <xf numFmtId="0" fontId="60" fillId="0" borderId="147" applyAlignment="1" pivotButton="0" quotePrefix="0" xfId="0">
      <alignment horizontal="left" vertical="center" wrapText="1"/>
    </xf>
    <xf numFmtId="0" fontId="60" fillId="0" borderId="148" applyAlignment="1" pivotButton="0" quotePrefix="0" xfId="0">
      <alignment horizontal="left" vertical="center" wrapText="1"/>
    </xf>
    <xf numFmtId="0" fontId="60" fillId="0" borderId="149" applyAlignment="1" pivotButton="0" quotePrefix="0" xfId="0">
      <alignment horizontal="left" vertical="center" wrapText="1"/>
    </xf>
    <xf numFmtId="0" fontId="60" fillId="0" borderId="153" applyAlignment="1" pivotButton="0" quotePrefix="0" xfId="0">
      <alignment horizontal="left" vertical="center" wrapText="1"/>
    </xf>
    <xf numFmtId="0" fontId="60" fillId="0" borderId="0" applyAlignment="1" pivotButton="0" quotePrefix="0" xfId="0">
      <alignment horizontal="left" vertical="center" wrapText="1"/>
    </xf>
    <xf numFmtId="0" fontId="60" fillId="0" borderId="154" applyAlignment="1" pivotButton="0" quotePrefix="0" xfId="0">
      <alignment horizontal="left" vertical="center" wrapText="1"/>
    </xf>
    <xf numFmtId="0" fontId="60" fillId="0" borderId="150" applyAlignment="1" pivotButton="0" quotePrefix="0" xfId="0">
      <alignment horizontal="left" vertical="center" wrapText="1"/>
    </xf>
    <xf numFmtId="0" fontId="60" fillId="0" borderId="151" applyAlignment="1" pivotButton="0" quotePrefix="0" xfId="0">
      <alignment horizontal="left" vertical="center" wrapText="1"/>
    </xf>
    <xf numFmtId="0" fontId="60" fillId="0" borderId="152" applyAlignment="1" pivotButton="0" quotePrefix="0" xfId="0">
      <alignment horizontal="left" vertical="center" wrapText="1"/>
    </xf>
    <xf numFmtId="0" fontId="69" fillId="0" borderId="153" applyAlignment="1" pivotButton="0" quotePrefix="0" xfId="0">
      <alignment horizontal="center" vertical="center" wrapText="1"/>
    </xf>
    <xf numFmtId="0" fontId="69" fillId="0" borderId="0" applyAlignment="1" pivotButton="0" quotePrefix="0" xfId="0">
      <alignment horizontal="center" vertical="center" wrapText="1"/>
    </xf>
    <xf numFmtId="0" fontId="69" fillId="0" borderId="154" applyAlignment="1" pivotButton="0" quotePrefix="0" xfId="0">
      <alignment horizontal="center" vertical="center" wrapText="1"/>
    </xf>
    <xf numFmtId="0" fontId="60" fillId="0" borderId="150" applyAlignment="1" pivotButton="0" quotePrefix="0" xfId="0">
      <alignment horizontal="center" vertical="center" wrapText="1"/>
    </xf>
    <xf numFmtId="0" fontId="60" fillId="0" borderId="151" applyAlignment="1" pivotButton="0" quotePrefix="0" xfId="0">
      <alignment horizontal="center" vertical="center" wrapText="1"/>
    </xf>
    <xf numFmtId="0" fontId="60" fillId="0" borderId="152" applyAlignment="1" pivotButton="0" quotePrefix="0" xfId="0">
      <alignment horizontal="center" vertical="center" wrapText="1"/>
    </xf>
    <xf numFmtId="0" fontId="69" fillId="0" borderId="147" applyAlignment="1" pivotButton="0" quotePrefix="0" xfId="0">
      <alignment horizontal="center" vertical="center" wrapText="1"/>
    </xf>
    <xf numFmtId="0" fontId="69" fillId="0" borderId="148" applyAlignment="1" pivotButton="0" quotePrefix="0" xfId="0">
      <alignment horizontal="center" vertical="center" wrapText="1"/>
    </xf>
    <xf numFmtId="0" fontId="69" fillId="0" borderId="149" applyAlignment="1" pivotButton="0" quotePrefix="0" xfId="0">
      <alignment horizontal="center" vertical="center" wrapText="1"/>
    </xf>
    <xf numFmtId="0" fontId="61" fillId="7" borderId="23" applyAlignment="1" pivotButton="0" quotePrefix="0" xfId="0">
      <alignment horizontal="center" vertical="center" wrapText="1"/>
    </xf>
    <xf numFmtId="0" fontId="61" fillId="7" borderId="0" applyAlignment="1" pivotButton="0" quotePrefix="0" xfId="0">
      <alignment horizontal="center" vertical="center" wrapText="1"/>
    </xf>
    <xf numFmtId="0" fontId="77" fillId="0" borderId="147" applyAlignment="1" pivotButton="0" quotePrefix="0" xfId="0">
      <alignment horizontal="center" vertical="center"/>
    </xf>
    <xf numFmtId="0" fontId="77" fillId="0" borderId="148" applyAlignment="1" pivotButton="0" quotePrefix="0" xfId="0">
      <alignment horizontal="center" vertical="center"/>
    </xf>
    <xf numFmtId="0" fontId="77" fillId="0" borderId="149" applyAlignment="1" pivotButton="0" quotePrefix="0" xfId="0">
      <alignment horizontal="center" vertical="center"/>
    </xf>
    <xf numFmtId="0" fontId="77" fillId="0" borderId="153" applyAlignment="1" pivotButton="0" quotePrefix="0" xfId="0">
      <alignment horizontal="center" vertical="center"/>
    </xf>
    <xf numFmtId="0" fontId="77" fillId="0" borderId="0" applyAlignment="1" pivotButton="0" quotePrefix="0" xfId="0">
      <alignment horizontal="center" vertical="center"/>
    </xf>
    <xf numFmtId="0" fontId="77" fillId="0" borderId="154" applyAlignment="1" pivotButton="0" quotePrefix="0" xfId="0">
      <alignment horizontal="center" vertical="center"/>
    </xf>
    <xf numFmtId="0" fontId="61" fillId="7" borderId="147" applyAlignment="1" pivotButton="0" quotePrefix="0" xfId="0">
      <alignment horizontal="center" vertical="center" wrapText="1"/>
    </xf>
    <xf numFmtId="0" fontId="61" fillId="7" borderId="149" applyAlignment="1" pivotButton="0" quotePrefix="0" xfId="0">
      <alignment horizontal="center" vertical="center" wrapText="1"/>
    </xf>
    <xf numFmtId="0" fontId="61" fillId="7" borderId="153" applyAlignment="1" pivotButton="0" quotePrefix="0" xfId="0">
      <alignment horizontal="center" vertical="center" wrapText="1"/>
    </xf>
    <xf numFmtId="0" fontId="61" fillId="7" borderId="154" applyAlignment="1" pivotButton="0" quotePrefix="0" xfId="0">
      <alignment horizontal="center" vertical="center" wrapText="1"/>
    </xf>
    <xf numFmtId="0" fontId="60" fillId="0" borderId="147" applyAlignment="1" pivotButton="0" quotePrefix="0" xfId="0">
      <alignment horizontal="center" vertical="center" wrapText="1"/>
    </xf>
    <xf numFmtId="0" fontId="60" fillId="0" borderId="149" applyAlignment="1" pivotButton="0" quotePrefix="0" xfId="0">
      <alignment horizontal="center" vertical="center" wrapText="1"/>
    </xf>
    <xf numFmtId="0" fontId="60" fillId="0" borderId="153" applyAlignment="1" pivotButton="0" quotePrefix="0" xfId="0">
      <alignment horizontal="center" vertical="center" wrapText="1"/>
    </xf>
    <xf numFmtId="0" fontId="60" fillId="0" borderId="154" applyAlignment="1" pivotButton="0" quotePrefix="0" xfId="0">
      <alignment horizontal="center" vertical="center" wrapText="1"/>
    </xf>
    <xf numFmtId="0" fontId="61" fillId="4" borderId="144" applyAlignment="1" pivotButton="0" quotePrefix="0" xfId="0">
      <alignment horizontal="center" vertical="center" wrapText="1"/>
    </xf>
    <xf numFmtId="0" fontId="61" fillId="4" borderId="145" applyAlignment="1" pivotButton="0" quotePrefix="0" xfId="0">
      <alignment horizontal="center" vertical="center" wrapText="1"/>
    </xf>
    <xf numFmtId="0" fontId="61" fillId="4" borderId="146" applyAlignment="1" pivotButton="0" quotePrefix="0" xfId="0">
      <alignment horizontal="center" vertical="center" wrapText="1"/>
    </xf>
    <xf numFmtId="0" fontId="66" fillId="7" borderId="144" applyAlignment="1" pivotButton="0" quotePrefix="0" xfId="0">
      <alignment horizontal="center" vertical="center" wrapText="1"/>
    </xf>
    <xf numFmtId="0" fontId="66" fillId="7" borderId="145" applyAlignment="1" pivotButton="0" quotePrefix="0" xfId="0">
      <alignment horizontal="center" vertical="center" wrapText="1"/>
    </xf>
    <xf numFmtId="0" fontId="66" fillId="7" borderId="146" applyAlignment="1" pivotButton="0" quotePrefix="0" xfId="0">
      <alignment horizontal="center" vertical="center" wrapText="1"/>
    </xf>
    <xf numFmtId="0" fontId="69" fillId="0" borderId="147" applyAlignment="1" pivotButton="0" quotePrefix="0" xfId="0">
      <alignment horizontal="left" vertical="center" wrapText="1"/>
    </xf>
    <xf numFmtId="0" fontId="69" fillId="0" borderId="148" applyAlignment="1" pivotButton="0" quotePrefix="0" xfId="0">
      <alignment horizontal="left" vertical="center" wrapText="1"/>
    </xf>
    <xf numFmtId="0" fontId="69" fillId="0" borderId="149" applyAlignment="1" pivotButton="0" quotePrefix="0" xfId="0">
      <alignment horizontal="left" vertical="center" wrapText="1"/>
    </xf>
    <xf numFmtId="0" fontId="69" fillId="0" borderId="153" applyAlignment="1" pivotButton="0" quotePrefix="0" xfId="0">
      <alignment horizontal="left" vertical="center" wrapText="1"/>
    </xf>
    <xf numFmtId="0" fontId="69" fillId="0" borderId="0" applyAlignment="1" pivotButton="0" quotePrefix="0" xfId="0">
      <alignment horizontal="left" vertical="center" wrapText="1"/>
    </xf>
    <xf numFmtId="0" fontId="69" fillId="0" borderId="154" applyAlignment="1" pivotButton="0" quotePrefix="0" xfId="0">
      <alignment horizontal="left" vertical="center" wrapText="1"/>
    </xf>
    <xf numFmtId="0" fontId="60" fillId="0" borderId="0" applyAlignment="1" pivotButton="0" quotePrefix="0" xfId="0">
      <alignment horizontal="center" vertical="center" wrapText="1"/>
    </xf>
    <xf numFmtId="0" fontId="61" fillId="7" borderId="148" applyAlignment="1" pivotButton="0" quotePrefix="0" xfId="0">
      <alignment horizontal="center" vertical="center" wrapText="1"/>
    </xf>
    <xf numFmtId="0" fontId="61" fillId="7" borderId="150" applyAlignment="1" pivotButton="0" quotePrefix="0" xfId="0">
      <alignment horizontal="center" vertical="center" wrapText="1"/>
    </xf>
    <xf numFmtId="0" fontId="61" fillId="7" borderId="151" applyAlignment="1" pivotButton="0" quotePrefix="0" xfId="0">
      <alignment horizontal="center" vertical="center" wrapText="1"/>
    </xf>
    <xf numFmtId="0" fontId="61" fillId="7" borderId="152" applyAlignment="1" pivotButton="0" quotePrefix="0" xfId="0">
      <alignment horizontal="center" vertical="center" wrapText="1"/>
    </xf>
    <xf numFmtId="0" fontId="66" fillId="7" borderId="150" applyAlignment="1" pivotButton="0" quotePrefix="0" xfId="0">
      <alignment horizontal="center" vertical="center" wrapText="1"/>
    </xf>
    <xf numFmtId="0" fontId="66" fillId="7" borderId="151" applyAlignment="1" pivotButton="0" quotePrefix="0" xfId="0">
      <alignment horizontal="center" vertical="center" wrapText="1"/>
    </xf>
    <xf numFmtId="0" fontId="66" fillId="7" borderId="152" applyAlignment="1" pivotButton="0" quotePrefix="0" xfId="0">
      <alignment horizontal="center" vertical="center" wrapText="1"/>
    </xf>
    <xf numFmtId="0" fontId="60" fillId="0" borderId="23" applyAlignment="1" pivotButton="0" quotePrefix="0" xfId="0">
      <alignment horizontal="left" vertical="center" wrapText="1"/>
    </xf>
    <xf numFmtId="0" fontId="60" fillId="0" borderId="24" applyAlignment="1" pivotButton="0" quotePrefix="0" xfId="0">
      <alignment horizontal="left" vertical="center" wrapText="1"/>
    </xf>
    <xf numFmtId="0" fontId="69" fillId="0" borderId="23" applyAlignment="1" pivotButton="0" quotePrefix="0" xfId="0">
      <alignment horizontal="left" vertical="center" wrapText="1"/>
    </xf>
    <xf numFmtId="0" fontId="69" fillId="0" borderId="24" applyAlignment="1" pivotButton="0" quotePrefix="0" xfId="0">
      <alignment horizontal="left" vertical="center" wrapText="1"/>
    </xf>
    <xf numFmtId="0" fontId="60" fillId="0" borderId="23" applyAlignment="1" pivotButton="0" quotePrefix="0" xfId="0">
      <alignment horizontal="center" vertical="center" wrapText="1"/>
    </xf>
    <xf numFmtId="0" fontId="60" fillId="0" borderId="24" applyAlignment="1" pivotButton="0" quotePrefix="0" xfId="0">
      <alignment horizontal="center" vertical="center" wrapText="1"/>
    </xf>
    <xf numFmtId="0" fontId="61" fillId="7" borderId="144" applyAlignment="1" pivotButton="0" quotePrefix="0" xfId="0">
      <alignment horizontal="center" vertical="center" wrapText="1"/>
    </xf>
    <xf numFmtId="0" fontId="61" fillId="7" borderId="145" applyAlignment="1" pivotButton="0" quotePrefix="0" xfId="0">
      <alignment horizontal="center" vertical="center" wrapText="1"/>
    </xf>
    <xf numFmtId="0" fontId="61" fillId="7" borderId="146" applyAlignment="1" pivotButton="0" quotePrefix="0" xfId="0">
      <alignment horizontal="center" vertical="center" wrapText="1"/>
    </xf>
    <xf numFmtId="0" fontId="60" fillId="0" borderId="23" applyAlignment="1" pivotButton="0" quotePrefix="0" xfId="0">
      <alignment horizontal="center" vertical="top" wrapText="1"/>
    </xf>
    <xf numFmtId="0" fontId="60" fillId="0" borderId="0" applyAlignment="1" pivotButton="0" quotePrefix="0" xfId="0">
      <alignment horizontal="center" vertical="top" wrapText="1"/>
    </xf>
    <xf numFmtId="0" fontId="60" fillId="0" borderId="24" applyAlignment="1" pivotButton="0" quotePrefix="0" xfId="0">
      <alignment horizontal="center" vertical="top" wrapText="1"/>
    </xf>
    <xf numFmtId="0" fontId="60" fillId="0" borderId="25" applyAlignment="1" pivotButton="0" quotePrefix="0" xfId="0">
      <alignment horizontal="center" vertical="top" wrapText="1"/>
    </xf>
    <xf numFmtId="0" fontId="60" fillId="0" borderId="26" applyAlignment="1" pivotButton="0" quotePrefix="0" xfId="0">
      <alignment horizontal="center" vertical="top" wrapText="1"/>
    </xf>
    <xf numFmtId="0" fontId="60" fillId="0" borderId="27" applyAlignment="1" pivotButton="0" quotePrefix="0" xfId="0">
      <alignment horizontal="center" vertical="top" wrapText="1"/>
    </xf>
    <xf numFmtId="0" fontId="60" fillId="0" borderId="173" applyAlignment="1" pivotButton="0" quotePrefix="0" xfId="0">
      <alignment horizontal="left" vertical="center" wrapText="1"/>
    </xf>
    <xf numFmtId="0" fontId="60" fillId="0" borderId="174" applyAlignment="1" pivotButton="0" quotePrefix="0" xfId="0">
      <alignment horizontal="left" vertical="center" wrapText="1"/>
    </xf>
    <xf numFmtId="0" fontId="60" fillId="0" borderId="25" applyAlignment="1" pivotButton="0" quotePrefix="0" xfId="0">
      <alignment horizontal="left" vertical="center" wrapText="1"/>
    </xf>
    <xf numFmtId="0" fontId="60" fillId="0" borderId="26" applyAlignment="1" pivotButton="0" quotePrefix="0" xfId="0">
      <alignment horizontal="left" vertical="center" wrapText="1"/>
    </xf>
    <xf numFmtId="0" fontId="60" fillId="0" borderId="27" applyAlignment="1" pivotButton="0" quotePrefix="0" xfId="0">
      <alignment horizontal="left" vertical="center" wrapText="1"/>
    </xf>
    <xf numFmtId="0" fontId="59" fillId="6" borderId="147" applyAlignment="1" pivotButton="0" quotePrefix="0" xfId="0">
      <alignment horizontal="center" vertical="center" wrapText="1"/>
    </xf>
    <xf numFmtId="0" fontId="59" fillId="6" borderId="148" applyAlignment="1" pivotButton="0" quotePrefix="0" xfId="0">
      <alignment horizontal="center" vertical="center" wrapText="1"/>
    </xf>
    <xf numFmtId="0" fontId="59" fillId="6" borderId="149" applyAlignment="1" pivotButton="0" quotePrefix="0" xfId="0">
      <alignment horizontal="center" vertical="center" wrapText="1"/>
    </xf>
    <xf numFmtId="0" fontId="59" fillId="6" borderId="153" applyAlignment="1" pivotButton="0" quotePrefix="0" xfId="0">
      <alignment horizontal="center" vertical="center" wrapText="1"/>
    </xf>
    <xf numFmtId="0" fontId="59" fillId="6" borderId="0" applyAlignment="1" pivotButton="0" quotePrefix="0" xfId="0">
      <alignment horizontal="center" vertical="center" wrapText="1"/>
    </xf>
    <xf numFmtId="0" fontId="59" fillId="6" borderId="154" applyAlignment="1" pivotButton="0" quotePrefix="0" xfId="0">
      <alignment horizontal="center" vertical="center" wrapText="1"/>
    </xf>
    <xf numFmtId="0" fontId="27" fillId="5" borderId="147" applyAlignment="1" pivotButton="0" quotePrefix="0" xfId="0">
      <alignment horizontal="left" vertical="center" wrapText="1"/>
    </xf>
    <xf numFmtId="0" fontId="27" fillId="5" borderId="148" applyAlignment="1" pivotButton="0" quotePrefix="0" xfId="0">
      <alignment horizontal="left" vertical="center" wrapText="1"/>
    </xf>
    <xf numFmtId="0" fontId="27" fillId="5" borderId="149" applyAlignment="1" pivotButton="0" quotePrefix="0" xfId="0">
      <alignment horizontal="left" vertical="center" wrapText="1"/>
    </xf>
    <xf numFmtId="0" fontId="27" fillId="5" borderId="153" applyAlignment="1" pivotButton="0" quotePrefix="0" xfId="0">
      <alignment horizontal="left" vertical="center" wrapText="1"/>
    </xf>
    <xf numFmtId="0" fontId="27" fillId="5" borderId="154" applyAlignment="1" pivotButton="0" quotePrefix="0" xfId="0">
      <alignment horizontal="left" vertical="center" wrapText="1"/>
    </xf>
    <xf numFmtId="0" fontId="27" fillId="5" borderId="150" applyAlignment="1" pivotButton="0" quotePrefix="0" xfId="0">
      <alignment horizontal="left" vertical="center" wrapText="1"/>
    </xf>
    <xf numFmtId="0" fontId="27" fillId="5" borderId="151" applyAlignment="1" pivotButton="0" quotePrefix="0" xfId="0">
      <alignment horizontal="left" vertical="center" wrapText="1"/>
    </xf>
    <xf numFmtId="0" fontId="27" fillId="5" borderId="152" applyAlignment="1" pivotButton="0" quotePrefix="0" xfId="0">
      <alignment horizontal="left" vertical="center" wrapText="1"/>
    </xf>
    <xf numFmtId="0" fontId="76" fillId="12" borderId="53" applyAlignment="1" pivotButton="0" quotePrefix="0" xfId="0">
      <alignment horizontal="center" vertical="center" wrapText="1"/>
    </xf>
    <xf numFmtId="0" fontId="76" fillId="12" borderId="54" applyAlignment="1" pivotButton="0" quotePrefix="0" xfId="0">
      <alignment horizontal="center" vertical="center" wrapText="1"/>
    </xf>
    <xf numFmtId="0" fontId="76" fillId="12" borderId="0" applyAlignment="1" pivotButton="0" quotePrefix="0" xfId="0">
      <alignment horizontal="center" vertical="center" wrapText="1"/>
    </xf>
    <xf numFmtId="0" fontId="76" fillId="12" borderId="56" applyAlignment="1" pivotButton="0" quotePrefix="0" xfId="0">
      <alignment horizontal="center" vertical="center" wrapText="1"/>
    </xf>
    <xf numFmtId="0" fontId="76" fillId="12" borderId="58" applyAlignment="1" pivotButton="0" quotePrefix="0" xfId="0">
      <alignment horizontal="center" vertical="center" wrapText="1"/>
    </xf>
    <xf numFmtId="0" fontId="76" fillId="12" borderId="59" applyAlignment="1" pivotButton="0" quotePrefix="0" xfId="0">
      <alignment horizontal="center" vertical="center" wrapText="1"/>
    </xf>
    <xf numFmtId="0" fontId="61" fillId="7" borderId="147" applyAlignment="1" pivotButton="0" quotePrefix="0" xfId="0">
      <alignment horizontal="left" vertical="center" wrapText="1"/>
    </xf>
    <xf numFmtId="0" fontId="61" fillId="7" borderId="148" applyAlignment="1" pivotButton="0" quotePrefix="0" xfId="0">
      <alignment horizontal="left" vertical="center" wrapText="1"/>
    </xf>
    <xf numFmtId="0" fontId="61" fillId="7" borderId="149" applyAlignment="1" pivotButton="0" quotePrefix="0" xfId="0">
      <alignment horizontal="left" vertical="center" wrapText="1"/>
    </xf>
    <xf numFmtId="0" fontId="61" fillId="7" borderId="150" applyAlignment="1" pivotButton="0" quotePrefix="0" xfId="0">
      <alignment horizontal="left" vertical="center" wrapText="1"/>
    </xf>
    <xf numFmtId="0" fontId="61" fillId="7" borderId="151" applyAlignment="1" pivotButton="0" quotePrefix="0" xfId="0">
      <alignment horizontal="left" vertical="center" wrapText="1"/>
    </xf>
    <xf numFmtId="0" fontId="61" fillId="7" borderId="152" applyAlignment="1" pivotButton="0" quotePrefix="0" xfId="0">
      <alignment horizontal="left" vertical="center" wrapText="1"/>
    </xf>
    <xf numFmtId="0" fontId="58" fillId="11" borderId="53" applyAlignment="1" pivotButton="0" quotePrefix="0" xfId="0">
      <alignment horizontal="center" vertical="top" wrapText="1"/>
    </xf>
    <xf numFmtId="0" fontId="58" fillId="11" borderId="54" applyAlignment="1" pivotButton="0" quotePrefix="0" xfId="0">
      <alignment horizontal="center" vertical="top" wrapText="1"/>
    </xf>
    <xf numFmtId="0" fontId="58" fillId="11" borderId="0" applyAlignment="1" pivotButton="0" quotePrefix="0" xfId="0">
      <alignment horizontal="center" vertical="top" wrapText="1"/>
    </xf>
    <xf numFmtId="0" fontId="58" fillId="11" borderId="56" applyAlignment="1" pivotButton="0" quotePrefix="0" xfId="0">
      <alignment horizontal="center" vertical="top" wrapText="1"/>
    </xf>
    <xf numFmtId="0" fontId="27" fillId="5" borderId="23" applyAlignment="1" pivotButton="0" quotePrefix="0" xfId="0">
      <alignment horizontal="left" vertical="center" wrapText="1"/>
    </xf>
    <xf numFmtId="0" fontId="76" fillId="12" borderId="52" applyAlignment="1" pivotButton="0" quotePrefix="0" xfId="0">
      <alignment horizontal="center" vertical="center" wrapText="1"/>
    </xf>
    <xf numFmtId="0" fontId="76" fillId="12" borderId="55" applyAlignment="1" pivotButton="0" quotePrefix="0" xfId="0">
      <alignment horizontal="center" vertical="center" wrapText="1"/>
    </xf>
    <xf numFmtId="0" fontId="58" fillId="11" borderId="147" applyAlignment="1" pivotButton="0" quotePrefix="0" xfId="0">
      <alignment horizontal="center" vertical="top" wrapText="1"/>
    </xf>
    <xf numFmtId="0" fontId="58" fillId="11" borderId="148" applyAlignment="1" pivotButton="0" quotePrefix="0" xfId="0">
      <alignment horizontal="center" vertical="top" wrapText="1"/>
    </xf>
    <xf numFmtId="0" fontId="58" fillId="11" borderId="149" applyAlignment="1" pivotButton="0" quotePrefix="0" xfId="0">
      <alignment horizontal="center" vertical="top" wrapText="1"/>
    </xf>
    <xf numFmtId="0" fontId="77" fillId="0" borderId="147" applyAlignment="1" pivotButton="0" quotePrefix="0" xfId="0">
      <alignment horizontal="left" vertical="top" wrapText="1"/>
    </xf>
    <xf numFmtId="0" fontId="77" fillId="0" borderId="148" applyAlignment="1" pivotButton="0" quotePrefix="0" xfId="0">
      <alignment horizontal="left" vertical="top" wrapText="1"/>
    </xf>
    <xf numFmtId="0" fontId="77" fillId="0" borderId="153" applyAlignment="1" pivotButton="0" quotePrefix="0" xfId="0">
      <alignment horizontal="left" vertical="top" wrapText="1"/>
    </xf>
    <xf numFmtId="0" fontId="77" fillId="0" borderId="0" applyAlignment="1" pivotButton="0" quotePrefix="0" xfId="0">
      <alignment horizontal="left" vertical="top" wrapText="1"/>
    </xf>
    <xf numFmtId="0" fontId="77" fillId="0" borderId="150" applyAlignment="1" pivotButton="0" quotePrefix="0" xfId="0">
      <alignment horizontal="left" vertical="top" wrapText="1"/>
    </xf>
    <xf numFmtId="0" fontId="77" fillId="0" borderId="151" applyAlignment="1" pivotButton="0" quotePrefix="0" xfId="0">
      <alignment horizontal="left" vertical="top" wrapText="1"/>
    </xf>
    <xf numFmtId="0" fontId="58" fillId="0" borderId="147" applyAlignment="1" pivotButton="0" quotePrefix="0" xfId="0">
      <alignment horizontal="center" vertical="top" wrapText="1"/>
    </xf>
    <xf numFmtId="0" fontId="58" fillId="0" borderId="148" applyAlignment="1" pivotButton="0" quotePrefix="0" xfId="0">
      <alignment horizontal="center" vertical="top" wrapText="1"/>
    </xf>
    <xf numFmtId="0" fontId="58" fillId="0" borderId="149" applyAlignment="1" pivotButton="0" quotePrefix="0" xfId="0">
      <alignment horizontal="center" vertical="top" wrapText="1"/>
    </xf>
    <xf numFmtId="0" fontId="58" fillId="0" borderId="153" applyAlignment="1" pivotButton="0" quotePrefix="0" xfId="0">
      <alignment horizontal="center" vertical="top" wrapText="1"/>
    </xf>
    <xf numFmtId="0" fontId="58" fillId="0" borderId="0" applyAlignment="1" pivotButton="0" quotePrefix="0" xfId="0">
      <alignment horizontal="center" vertical="top" wrapText="1"/>
    </xf>
    <xf numFmtId="0" fontId="58" fillId="0" borderId="154" applyAlignment="1" pivotButton="0" quotePrefix="0" xfId="0">
      <alignment horizontal="center" vertical="top" wrapText="1"/>
    </xf>
    <xf numFmtId="0" fontId="58" fillId="0" borderId="150" applyAlignment="1" pivotButton="0" quotePrefix="0" xfId="0">
      <alignment horizontal="center" vertical="top" wrapText="1"/>
    </xf>
    <xf numFmtId="0" fontId="58" fillId="0" borderId="151" applyAlignment="1" pivotButton="0" quotePrefix="0" xfId="0">
      <alignment horizontal="center" vertical="top" wrapText="1"/>
    </xf>
    <xf numFmtId="0" fontId="58" fillId="0" borderId="152" applyAlignment="1" pivotButton="0" quotePrefix="0" xfId="0">
      <alignment horizontal="center" vertical="top" wrapText="1"/>
    </xf>
    <xf numFmtId="0" fontId="58" fillId="11" borderId="96" applyAlignment="1" pivotButton="0" quotePrefix="0" xfId="0">
      <alignment horizontal="center" vertical="top" wrapText="1"/>
    </xf>
    <xf numFmtId="0" fontId="58" fillId="11" borderId="78" applyAlignment="1" pivotButton="0" quotePrefix="0" xfId="0">
      <alignment horizontal="center" vertical="top" wrapText="1"/>
    </xf>
    <xf numFmtId="0" fontId="58" fillId="0" borderId="53" applyAlignment="1" pivotButton="0" quotePrefix="0" xfId="0">
      <alignment horizontal="center" vertical="top" wrapText="1"/>
    </xf>
    <xf numFmtId="0" fontId="58" fillId="0" borderId="54" applyAlignment="1" pivotButton="0" quotePrefix="0" xfId="0">
      <alignment horizontal="center" vertical="top" wrapText="1"/>
    </xf>
    <xf numFmtId="0" fontId="58" fillId="0" borderId="56" applyAlignment="1" pivotButton="0" quotePrefix="0" xfId="0">
      <alignment horizontal="center" vertical="top" wrapText="1"/>
    </xf>
    <xf numFmtId="0" fontId="58" fillId="0" borderId="58" applyAlignment="1" pivotButton="0" quotePrefix="0" xfId="0">
      <alignment horizontal="center" vertical="top" wrapText="1"/>
    </xf>
    <xf numFmtId="0" fontId="58" fillId="0" borderId="59" applyAlignment="1" pivotButton="0" quotePrefix="0" xfId="0">
      <alignment horizontal="center" vertical="top" wrapText="1"/>
    </xf>
    <xf numFmtId="0" fontId="58" fillId="0" borderId="53" applyAlignment="1" pivotButton="0" quotePrefix="0" xfId="0">
      <alignment horizontal="center" wrapText="1"/>
    </xf>
    <xf numFmtId="0" fontId="58" fillId="0" borderId="54" applyAlignment="1" pivotButton="0" quotePrefix="0" xfId="0">
      <alignment horizontal="center" wrapText="1"/>
    </xf>
    <xf numFmtId="0" fontId="58" fillId="0" borderId="0" applyAlignment="1" pivotButton="0" quotePrefix="0" xfId="0">
      <alignment horizontal="center" wrapText="1"/>
    </xf>
    <xf numFmtId="0" fontId="58" fillId="0" borderId="56" applyAlignment="1" pivotButton="0" quotePrefix="0" xfId="0">
      <alignment horizontal="center" wrapText="1"/>
    </xf>
    <xf numFmtId="0" fontId="58" fillId="0" borderId="58" applyAlignment="1" pivotButton="0" quotePrefix="0" xfId="0">
      <alignment horizontal="center" wrapText="1"/>
    </xf>
    <xf numFmtId="0" fontId="58" fillId="0" borderId="59" applyAlignment="1" pivotButton="0" quotePrefix="0" xfId="0">
      <alignment horizontal="center" wrapText="1"/>
    </xf>
    <xf numFmtId="0" fontId="58" fillId="11" borderId="96" applyAlignment="1" pivotButton="0" quotePrefix="0" xfId="0">
      <alignment horizontal="center" wrapText="1"/>
    </xf>
    <xf numFmtId="0" fontId="58" fillId="11" borderId="78" applyAlignment="1" pivotButton="0" quotePrefix="0" xfId="0">
      <alignment horizontal="center" wrapText="1"/>
    </xf>
    <xf numFmtId="0" fontId="60" fillId="0" borderId="55" applyAlignment="1" pivotButton="0" quotePrefix="0" xfId="0">
      <alignment horizontal="left" vertical="center" wrapText="1"/>
    </xf>
    <xf numFmtId="0" fontId="60" fillId="0" borderId="56" applyAlignment="1" pivotButton="0" quotePrefix="0" xfId="0">
      <alignment horizontal="left" vertical="center" wrapText="1"/>
    </xf>
    <xf numFmtId="0" fontId="60" fillId="0" borderId="55" applyAlignment="1" pivotButton="0" quotePrefix="0" xfId="0">
      <alignment horizontal="center" vertical="center" wrapText="1"/>
    </xf>
    <xf numFmtId="0" fontId="60" fillId="0" borderId="56" applyAlignment="1" pivotButton="0" quotePrefix="0" xfId="0">
      <alignment horizontal="center" vertical="center" wrapText="1"/>
    </xf>
    <xf numFmtId="0" fontId="58" fillId="0" borderId="52" applyAlignment="1" pivotButton="0" quotePrefix="0" xfId="0">
      <alignment horizontal="center" wrapText="1"/>
    </xf>
    <xf numFmtId="0" fontId="58" fillId="0" borderId="55" applyAlignment="1" pivotButton="0" quotePrefix="0" xfId="0">
      <alignment horizontal="center" wrapText="1"/>
    </xf>
    <xf numFmtId="0" fontId="58" fillId="0" borderId="57" applyAlignment="1" pivotButton="0" quotePrefix="0" xfId="0">
      <alignment horizontal="center" wrapText="1"/>
    </xf>
    <xf numFmtId="0" fontId="58" fillId="13" borderId="53" applyAlignment="1" pivotButton="0" quotePrefix="0" xfId="0">
      <alignment horizontal="center" wrapText="1"/>
    </xf>
    <xf numFmtId="0" fontId="58" fillId="13" borderId="54" applyAlignment="1" pivotButton="0" quotePrefix="0" xfId="0">
      <alignment horizontal="center" wrapText="1"/>
    </xf>
    <xf numFmtId="0" fontId="58" fillId="13" borderId="0" applyAlignment="1" pivotButton="0" quotePrefix="0" xfId="0">
      <alignment horizontal="center" wrapText="1"/>
    </xf>
    <xf numFmtId="0" fontId="58" fillId="13" borderId="56" applyAlignment="1" pivotButton="0" quotePrefix="0" xfId="0">
      <alignment horizontal="center" wrapText="1"/>
    </xf>
    <xf numFmtId="0" fontId="61" fillId="11" borderId="144" applyAlignment="1" pivotButton="0" quotePrefix="0" xfId="0">
      <alignment horizontal="left" vertical="center" wrapText="1"/>
    </xf>
    <xf numFmtId="0" fontId="61" fillId="11" borderId="145" applyAlignment="1" pivotButton="0" quotePrefix="0" xfId="0">
      <alignment horizontal="left" vertical="center" wrapText="1"/>
    </xf>
    <xf numFmtId="0" fontId="61" fillId="11" borderId="146" applyAlignment="1" pivotButton="0" quotePrefix="0" xfId="0">
      <alignment horizontal="left" vertical="center" wrapText="1"/>
    </xf>
    <xf numFmtId="0" fontId="60" fillId="0" borderId="148" applyAlignment="1" pivotButton="0" quotePrefix="0" xfId="0">
      <alignment horizontal="center" vertical="center" wrapText="1"/>
    </xf>
    <xf numFmtId="0" fontId="61" fillId="7" borderId="56" applyAlignment="1" pivotButton="0" quotePrefix="0" xfId="0">
      <alignment horizontal="center" vertical="center" wrapText="1"/>
    </xf>
    <xf numFmtId="0" fontId="58" fillId="11" borderId="95" applyAlignment="1" pivotButton="0" quotePrefix="0" xfId="0">
      <alignment horizontal="center" wrapText="1"/>
    </xf>
    <xf numFmtId="0" fontId="77" fillId="0" borderId="55" applyAlignment="1" pivotButton="0" quotePrefix="0" xfId="0">
      <alignment horizontal="left" vertical="center" wrapText="1"/>
    </xf>
    <xf numFmtId="0" fontId="77" fillId="0" borderId="0" applyAlignment="1" pivotButton="0" quotePrefix="0" xfId="0">
      <alignment horizontal="left" vertical="center" wrapText="1"/>
    </xf>
    <xf numFmtId="0" fontId="77" fillId="0" borderId="56" applyAlignment="1" pivotButton="0" quotePrefix="0" xfId="0">
      <alignment horizontal="left" vertical="center" wrapText="1"/>
    </xf>
    <xf numFmtId="0" fontId="69" fillId="0" borderId="55" applyAlignment="1" pivotButton="0" quotePrefix="0" xfId="0">
      <alignment horizontal="left" vertical="top" wrapText="1"/>
    </xf>
    <xf numFmtId="0" fontId="69" fillId="0" borderId="0" applyAlignment="1" pivotButton="0" quotePrefix="0" xfId="0">
      <alignment horizontal="left" vertical="top" wrapText="1"/>
    </xf>
    <xf numFmtId="0" fontId="69" fillId="0" borderId="56" applyAlignment="1" pivotButton="0" quotePrefix="0" xfId="0">
      <alignment horizontal="left" vertical="top" wrapText="1"/>
    </xf>
    <xf numFmtId="0" fontId="77" fillId="0" borderId="55" applyAlignment="1" pivotButton="0" quotePrefix="0" xfId="0">
      <alignment horizontal="left" vertical="top" wrapText="1"/>
    </xf>
    <xf numFmtId="0" fontId="77" fillId="0" borderId="56" applyAlignment="1" pivotButton="0" quotePrefix="0" xfId="0">
      <alignment horizontal="left" vertical="top" wrapText="1"/>
    </xf>
    <xf numFmtId="0" fontId="77" fillId="0" borderId="171" applyAlignment="1" pivotButton="0" quotePrefix="0" xfId="0">
      <alignment horizontal="left" vertical="top" wrapText="1"/>
    </xf>
    <xf numFmtId="0" fontId="77" fillId="0" borderId="172" applyAlignment="1" pivotButton="0" quotePrefix="0" xfId="0">
      <alignment horizontal="left" vertical="top" wrapText="1"/>
    </xf>
    <xf numFmtId="0" fontId="58" fillId="13" borderId="53" applyAlignment="1" pivotButton="0" quotePrefix="0" xfId="0">
      <alignment horizontal="center" vertical="top" wrapText="1"/>
    </xf>
    <xf numFmtId="0" fontId="58" fillId="13" borderId="54" applyAlignment="1" pivotButton="0" quotePrefix="0" xfId="0">
      <alignment horizontal="center" vertical="top" wrapText="1"/>
    </xf>
    <xf numFmtId="0" fontId="58" fillId="13" borderId="0" applyAlignment="1" pivotButton="0" quotePrefix="0" xfId="0">
      <alignment horizontal="center" vertical="top" wrapText="1"/>
    </xf>
    <xf numFmtId="0" fontId="58" fillId="13" borderId="56" applyAlignment="1" pivotButton="0" quotePrefix="0" xfId="0">
      <alignment horizontal="center" vertical="top" wrapText="1"/>
    </xf>
    <xf numFmtId="0" fontId="69" fillId="0" borderId="169" applyAlignment="1" pivotButton="0" quotePrefix="0" xfId="0">
      <alignment horizontal="left" vertical="top" wrapText="1"/>
    </xf>
    <xf numFmtId="0" fontId="69" fillId="0" borderId="148" applyAlignment="1" pivotButton="0" quotePrefix="0" xfId="0">
      <alignment horizontal="left" vertical="top" wrapText="1"/>
    </xf>
    <xf numFmtId="0" fontId="69" fillId="0" borderId="170" applyAlignment="1" pivotButton="0" quotePrefix="0" xfId="0">
      <alignment horizontal="left" vertical="top" wrapText="1"/>
    </xf>
    <xf numFmtId="0" fontId="58" fillId="0" borderId="55" applyAlignment="1" pivotButton="0" quotePrefix="0" xfId="0">
      <alignment horizontal="center" vertical="top" wrapText="1"/>
    </xf>
    <xf numFmtId="0" fontId="58" fillId="0" borderId="57" applyAlignment="1" pivotButton="0" quotePrefix="0" xfId="0">
      <alignment horizontal="center" vertical="top" wrapText="1"/>
    </xf>
    <xf numFmtId="0" fontId="58" fillId="11" borderId="150" applyAlignment="1" pivotButton="0" quotePrefix="0" xfId="0">
      <alignment horizontal="center" vertical="top" wrapText="1"/>
    </xf>
    <xf numFmtId="0" fontId="58" fillId="11" borderId="151" applyAlignment="1" pivotButton="0" quotePrefix="0" xfId="0">
      <alignment horizontal="center" vertical="top" wrapText="1"/>
    </xf>
    <xf numFmtId="0" fontId="58" fillId="11" borderId="152" applyAlignment="1" pivotButton="0" quotePrefix="0" xfId="0">
      <alignment horizontal="center" vertical="top" wrapText="1"/>
    </xf>
    <xf numFmtId="0" fontId="60" fillId="0" borderId="55" applyAlignment="1" pivotButton="0" quotePrefix="0" xfId="0">
      <alignment horizontal="left" vertical="top" wrapText="1"/>
    </xf>
    <xf numFmtId="0" fontId="60" fillId="0" borderId="0" applyAlignment="1" pivotButton="0" quotePrefix="0" xfId="0">
      <alignment horizontal="left" vertical="top" wrapText="1"/>
    </xf>
    <xf numFmtId="0" fontId="60" fillId="0" borderId="56" applyAlignment="1" pivotButton="0" quotePrefix="0" xfId="0">
      <alignment horizontal="left" vertical="top" wrapText="1"/>
    </xf>
    <xf numFmtId="0" fontId="58" fillId="0" borderId="53" applyAlignment="1" pivotButton="0" quotePrefix="0" xfId="0">
      <alignment horizontal="left" vertical="top" wrapText="1"/>
    </xf>
    <xf numFmtId="0" fontId="58" fillId="0" borderId="54" applyAlignment="1" pivotButton="0" quotePrefix="0" xfId="0">
      <alignment horizontal="left" vertical="top" wrapText="1"/>
    </xf>
    <xf numFmtId="0" fontId="58" fillId="0" borderId="55" applyAlignment="1" pivotButton="0" quotePrefix="0" xfId="0">
      <alignment horizontal="left" vertical="top" wrapText="1"/>
    </xf>
    <xf numFmtId="0" fontId="58" fillId="0" borderId="0" applyAlignment="1" pivotButton="0" quotePrefix="0" xfId="0">
      <alignment horizontal="left" vertical="top" wrapText="1"/>
    </xf>
    <xf numFmtId="0" fontId="58" fillId="0" borderId="56" applyAlignment="1" pivotButton="0" quotePrefix="0" xfId="0">
      <alignment horizontal="left" vertical="top" wrapText="1"/>
    </xf>
    <xf numFmtId="0" fontId="58" fillId="0" borderId="57" applyAlignment="1" pivotButton="0" quotePrefix="0" xfId="0">
      <alignment horizontal="left" vertical="top" wrapText="1"/>
    </xf>
    <xf numFmtId="0" fontId="58" fillId="0" borderId="58" applyAlignment="1" pivotButton="0" quotePrefix="0" xfId="0">
      <alignment horizontal="left" vertical="top" wrapText="1"/>
    </xf>
    <xf numFmtId="0" fontId="58" fillId="0" borderId="59" applyAlignment="1" pivotButton="0" quotePrefix="0" xfId="0">
      <alignment horizontal="left" vertical="top" wrapText="1"/>
    </xf>
    <xf numFmtId="0" fontId="59" fillId="6" borderId="144" applyAlignment="1" pivotButton="0" quotePrefix="0" xfId="0">
      <alignment horizontal="center" vertical="center" wrapText="1"/>
    </xf>
    <xf numFmtId="0" fontId="59" fillId="6" borderId="145" applyAlignment="1" pivotButton="0" quotePrefix="0" xfId="0">
      <alignment horizontal="center" vertical="center" wrapText="1"/>
    </xf>
    <xf numFmtId="0" fontId="59" fillId="6" borderId="146" applyAlignment="1" pivotButton="0" quotePrefix="0" xfId="0">
      <alignment horizontal="center" vertical="center" wrapText="1"/>
    </xf>
    <xf numFmtId="0" fontId="77" fillId="0" borderId="52" applyAlignment="1" pivotButton="0" quotePrefix="0" xfId="0">
      <alignment horizontal="left" vertical="top" wrapText="1"/>
    </xf>
    <xf numFmtId="0" fontId="77" fillId="0" borderId="53" applyAlignment="1" pivotButton="0" quotePrefix="0" xfId="0">
      <alignment horizontal="left" vertical="top" wrapText="1"/>
    </xf>
    <xf numFmtId="0" fontId="77" fillId="0" borderId="54" applyAlignment="1" pivotButton="0" quotePrefix="0" xfId="0">
      <alignment horizontal="left" vertical="top" wrapText="1"/>
    </xf>
    <xf numFmtId="0" fontId="77" fillId="0" borderId="57" applyAlignment="1" pivotButton="0" quotePrefix="0" xfId="0">
      <alignment horizontal="left" vertical="top" wrapText="1"/>
    </xf>
    <xf numFmtId="0" fontId="77" fillId="0" borderId="58" applyAlignment="1" pivotButton="0" quotePrefix="0" xfId="0">
      <alignment horizontal="left" vertical="top" wrapText="1"/>
    </xf>
    <xf numFmtId="0" fontId="77" fillId="0" borderId="59" applyAlignment="1" pivotButton="0" quotePrefix="0" xfId="0">
      <alignment horizontal="left" vertical="top" wrapText="1"/>
    </xf>
    <xf numFmtId="0" fontId="76" fillId="12" borderId="52" applyAlignment="1" pivotButton="0" quotePrefix="0" xfId="0">
      <alignment horizontal="left" vertical="center" wrapText="1"/>
    </xf>
    <xf numFmtId="0" fontId="76" fillId="12" borderId="53" applyAlignment="1" pivotButton="0" quotePrefix="0" xfId="0">
      <alignment horizontal="left" vertical="center" wrapText="1"/>
    </xf>
    <xf numFmtId="0" fontId="76" fillId="12" borderId="54" applyAlignment="1" pivotButton="0" quotePrefix="0" xfId="0">
      <alignment horizontal="left" vertical="center" wrapText="1"/>
    </xf>
    <xf numFmtId="0" fontId="76" fillId="12" borderId="55" applyAlignment="1" pivotButton="0" quotePrefix="0" xfId="0">
      <alignment horizontal="left" vertical="center" wrapText="1"/>
    </xf>
    <xf numFmtId="0" fontId="76" fillId="12" borderId="0" applyAlignment="1" pivotButton="0" quotePrefix="0" xfId="0">
      <alignment horizontal="left" vertical="center" wrapText="1"/>
    </xf>
    <xf numFmtId="0" fontId="76" fillId="12" borderId="56" applyAlignment="1" pivotButton="0" quotePrefix="0" xfId="0">
      <alignment horizontal="left" vertical="center" wrapText="1"/>
    </xf>
    <xf numFmtId="0" fontId="60" fillId="0" borderId="166" applyAlignment="1" applyProtection="1" pivotButton="0" quotePrefix="0" xfId="0">
      <alignment horizontal="center" vertical="center" wrapText="1"/>
      <protection locked="0" hidden="0"/>
    </xf>
    <xf numFmtId="0" fontId="60" fillId="0" borderId="167" applyAlignment="1" applyProtection="1" pivotButton="0" quotePrefix="0" xfId="0">
      <alignment horizontal="center" vertical="center" wrapText="1"/>
      <protection locked="0" hidden="0"/>
    </xf>
    <xf numFmtId="0" fontId="60" fillId="0" borderId="168" applyAlignment="1" applyProtection="1" pivotButton="0" quotePrefix="0" xfId="0">
      <alignment horizontal="center" vertical="center" wrapText="1"/>
      <protection locked="0" hidden="0"/>
    </xf>
    <xf numFmtId="0" fontId="60" fillId="0" borderId="58" applyAlignment="1" applyProtection="1" pivotButton="0" quotePrefix="0" xfId="0">
      <alignment horizontal="center" vertical="center" wrapText="1"/>
      <protection locked="0" hidden="0"/>
    </xf>
    <xf numFmtId="0" fontId="60" fillId="0" borderId="59" applyAlignment="1" applyProtection="1" pivotButton="0" quotePrefix="0" xfId="0">
      <alignment horizontal="center" vertical="center" wrapText="1"/>
      <protection locked="0" hidden="0"/>
    </xf>
    <xf numFmtId="0" fontId="19" fillId="5" borderId="52" applyAlignment="1" pivotButton="0" quotePrefix="0" xfId="0">
      <alignment horizontal="left" vertical="center" wrapText="1"/>
    </xf>
    <xf numFmtId="0" fontId="19" fillId="5" borderId="53" applyAlignment="1" pivotButton="0" quotePrefix="0" xfId="0">
      <alignment horizontal="left" vertical="center" wrapText="1"/>
    </xf>
    <xf numFmtId="0" fontId="19" fillId="5" borderId="54" applyAlignment="1" pivotButton="0" quotePrefix="0" xfId="0">
      <alignment horizontal="left" vertical="center" wrapText="1"/>
    </xf>
    <xf numFmtId="0" fontId="19" fillId="5" borderId="55" applyAlignment="1" pivotButton="0" quotePrefix="0" xfId="0">
      <alignment horizontal="left" vertical="center" wrapText="1"/>
    </xf>
    <xf numFmtId="0" fontId="19" fillId="5" borderId="0" applyAlignment="1" pivotButton="0" quotePrefix="0" xfId="0">
      <alignment horizontal="left" vertical="center" wrapText="1"/>
    </xf>
    <xf numFmtId="0" fontId="19" fillId="5" borderId="56" applyAlignment="1" pivotButton="0" quotePrefix="0" xfId="0">
      <alignment horizontal="left" vertical="center" wrapText="1"/>
    </xf>
    <xf numFmtId="0" fontId="19" fillId="5" borderId="57" applyAlignment="1" pivotButton="0" quotePrefix="0" xfId="0">
      <alignment horizontal="left" vertical="center" wrapText="1"/>
    </xf>
    <xf numFmtId="0" fontId="19" fillId="5" borderId="58" applyAlignment="1" pivotButton="0" quotePrefix="0" xfId="0">
      <alignment horizontal="left" vertical="center" wrapText="1"/>
    </xf>
    <xf numFmtId="0" fontId="19" fillId="5" borderId="59" applyAlignment="1" pivotButton="0" quotePrefix="0" xfId="0">
      <alignment horizontal="left" vertical="center" wrapText="1"/>
    </xf>
    <xf numFmtId="0" fontId="61" fillId="7" borderId="95" applyAlignment="1" pivotButton="0" quotePrefix="0" xfId="0">
      <alignment horizontal="left" vertical="center" wrapText="1"/>
    </xf>
    <xf numFmtId="0" fontId="61" fillId="7" borderId="96" applyAlignment="1" pivotButton="0" quotePrefix="0" xfId="0">
      <alignment horizontal="left" vertical="center" wrapText="1"/>
    </xf>
    <xf numFmtId="0" fontId="61" fillId="7" borderId="78" applyAlignment="1" pivotButton="0" quotePrefix="0" xfId="0">
      <alignment horizontal="left" vertical="center" wrapText="1"/>
    </xf>
    <xf numFmtId="0" fontId="58" fillId="7" borderId="95" applyAlignment="1" pivotButton="0" quotePrefix="0" xfId="0">
      <alignment horizontal="center"/>
    </xf>
    <xf numFmtId="0" fontId="58" fillId="7" borderId="96" applyAlignment="1" pivotButton="0" quotePrefix="0" xfId="0">
      <alignment horizontal="center"/>
    </xf>
    <xf numFmtId="0" fontId="58" fillId="7" borderId="78" applyAlignment="1" pivotButton="0" quotePrefix="0" xfId="0">
      <alignment horizontal="center"/>
    </xf>
    <xf numFmtId="0" fontId="76" fillId="12" borderId="57" applyAlignment="1" pivotButton="0" quotePrefix="0" xfId="0">
      <alignment horizontal="center" vertical="center" wrapText="1"/>
    </xf>
    <xf numFmtId="0" fontId="60" fillId="0" borderId="164" applyAlignment="1" applyProtection="1" pivotButton="0" quotePrefix="0" xfId="0">
      <alignment horizontal="center" vertical="center" wrapText="1"/>
      <protection locked="0" hidden="0"/>
    </xf>
    <xf numFmtId="0" fontId="60" fillId="0" borderId="162" applyAlignment="1" applyProtection="1" pivotButton="0" quotePrefix="0" xfId="0">
      <alignment horizontal="center" vertical="center" wrapText="1"/>
      <protection locked="0" hidden="0"/>
    </xf>
    <xf numFmtId="0" fontId="60" fillId="0" borderId="165" applyAlignment="1" applyProtection="1" pivotButton="0" quotePrefix="0" xfId="0">
      <alignment horizontal="center" vertical="center" wrapText="1"/>
      <protection locked="0" hidden="0"/>
    </xf>
    <xf numFmtId="0" fontId="60" fillId="0" borderId="159" applyAlignment="1" applyProtection="1" pivotButton="0" quotePrefix="0" xfId="0">
      <alignment horizontal="center" vertical="center" wrapText="1"/>
      <protection locked="0" hidden="0"/>
    </xf>
    <xf numFmtId="0" fontId="60" fillId="0" borderId="160" applyAlignment="1" applyProtection="1" pivotButton="0" quotePrefix="0" xfId="0">
      <alignment horizontal="center" vertical="center" wrapText="1"/>
      <protection locked="0" hidden="0"/>
    </xf>
    <xf numFmtId="0" fontId="60" fillId="0" borderId="161" applyAlignment="1" applyProtection="1" pivotButton="0" quotePrefix="0" xfId="0">
      <alignment horizontal="center" vertical="center" wrapText="1"/>
      <protection locked="0" hidden="0"/>
    </xf>
    <xf numFmtId="0" fontId="59" fillId="6" borderId="52" applyAlignment="1" pivotButton="0" quotePrefix="0" xfId="0">
      <alignment horizontal="left" vertical="center" wrapText="1"/>
    </xf>
    <xf numFmtId="0" fontId="59" fillId="6" borderId="53" applyAlignment="1" pivotButton="0" quotePrefix="0" xfId="0">
      <alignment horizontal="left" vertical="center" wrapText="1"/>
    </xf>
    <xf numFmtId="0" fontId="59" fillId="6" borderId="54" applyAlignment="1" pivotButton="0" quotePrefix="0" xfId="0">
      <alignment horizontal="left" vertical="center" wrapText="1"/>
    </xf>
    <xf numFmtId="0" fontId="59" fillId="6" borderId="55" applyAlignment="1" pivotButton="0" quotePrefix="0" xfId="0">
      <alignment horizontal="left" vertical="center" wrapText="1"/>
    </xf>
    <xf numFmtId="0" fontId="59" fillId="6" borderId="0" applyAlignment="1" pivotButton="0" quotePrefix="0" xfId="0">
      <alignment horizontal="left" vertical="center" wrapText="1"/>
    </xf>
    <xf numFmtId="0" fontId="59" fillId="6" borderId="56" applyAlignment="1" pivotButton="0" quotePrefix="0" xfId="0">
      <alignment horizontal="left" vertical="center" wrapText="1"/>
    </xf>
    <xf numFmtId="0" fontId="0" fillId="6" borderId="52" applyAlignment="1" pivotButton="0" quotePrefix="0" xfId="0">
      <alignment horizontal="center"/>
    </xf>
    <xf numFmtId="0" fontId="0" fillId="6" borderId="53" applyAlignment="1" pivotButton="0" quotePrefix="0" xfId="0">
      <alignment horizontal="center"/>
    </xf>
    <xf numFmtId="0" fontId="0" fillId="6" borderId="54" applyAlignment="1" pivotButton="0" quotePrefix="0" xfId="0">
      <alignment horizontal="center"/>
    </xf>
    <xf numFmtId="0" fontId="0" fillId="6" borderId="55" applyAlignment="1" pivotButton="0" quotePrefix="0" xfId="0">
      <alignment horizontal="center"/>
    </xf>
    <xf numFmtId="0" fontId="0" fillId="6" borderId="0" applyAlignment="1" pivotButton="0" quotePrefix="0" xfId="0">
      <alignment horizontal="center"/>
    </xf>
    <xf numFmtId="0" fontId="0" fillId="6" borderId="56" applyAlignment="1" pivotButton="0" quotePrefix="0" xfId="0">
      <alignment horizontal="center"/>
    </xf>
    <xf numFmtId="0" fontId="61" fillId="7" borderId="55" applyAlignment="1" pivotButton="0" quotePrefix="0" xfId="0">
      <alignment horizontal="center" vertical="center" wrapText="1"/>
    </xf>
    <xf numFmtId="0" fontId="58" fillId="7" borderId="57" applyAlignment="1" pivotButton="0" quotePrefix="0" xfId="0">
      <alignment horizontal="center"/>
    </xf>
    <xf numFmtId="0" fontId="58" fillId="7" borderId="58" applyAlignment="1" pivotButton="0" quotePrefix="0" xfId="0">
      <alignment horizontal="center"/>
    </xf>
    <xf numFmtId="0" fontId="58" fillId="7" borderId="59" applyAlignment="1" pivotButton="0" quotePrefix="0" xfId="0">
      <alignment horizontal="center"/>
    </xf>
    <xf numFmtId="0" fontId="61" fillId="0" borderId="52" applyAlignment="1" applyProtection="1" pivotButton="0" quotePrefix="0" xfId="0">
      <alignment horizontal="center" vertical="center" wrapText="1"/>
      <protection locked="0" hidden="0"/>
    </xf>
    <xf numFmtId="0" fontId="61" fillId="0" borderId="53" applyAlignment="1" applyProtection="1" pivotButton="0" quotePrefix="0" xfId="0">
      <alignment horizontal="center" vertical="center" wrapText="1"/>
      <protection locked="0" hidden="0"/>
    </xf>
    <xf numFmtId="0" fontId="61" fillId="0" borderId="54" applyAlignment="1" applyProtection="1" pivotButton="0" quotePrefix="0" xfId="0">
      <alignment horizontal="center" vertical="center" wrapText="1"/>
      <protection locked="0" hidden="0"/>
    </xf>
    <xf numFmtId="0" fontId="60" fillId="0" borderId="156" applyAlignment="1" applyProtection="1" pivotButton="0" quotePrefix="0" xfId="0">
      <alignment horizontal="center" vertical="center" wrapText="1"/>
      <protection locked="0" hidden="0"/>
    </xf>
    <xf numFmtId="0" fontId="60" fillId="0" borderId="157" applyAlignment="1" applyProtection="1" pivotButton="0" quotePrefix="0" xfId="0">
      <alignment horizontal="center" vertical="center" wrapText="1"/>
      <protection locked="0" hidden="0"/>
    </xf>
    <xf numFmtId="0" fontId="60" fillId="0" borderId="158" applyAlignment="1" applyProtection="1" pivotButton="0" quotePrefix="0" xfId="0">
      <alignment horizontal="center" vertical="center" wrapText="1"/>
      <protection locked="0" hidden="0"/>
    </xf>
    <xf numFmtId="0" fontId="60" fillId="0" borderId="55" applyAlignment="1" applyProtection="1" pivotButton="0" quotePrefix="0" xfId="0">
      <alignment horizontal="center" vertical="center" wrapText="1"/>
      <protection locked="0" hidden="0"/>
    </xf>
    <xf numFmtId="0" fontId="60" fillId="0" borderId="0" applyAlignment="1" applyProtection="1" pivotButton="0" quotePrefix="0" xfId="0">
      <alignment horizontal="center" vertical="center" wrapText="1"/>
      <protection locked="0" hidden="0"/>
    </xf>
    <xf numFmtId="0" fontId="60" fillId="0" borderId="56" applyAlignment="1" applyProtection="1" pivotButton="0" quotePrefix="0" xfId="0">
      <alignment horizontal="center" vertical="center" wrapText="1"/>
      <protection locked="0" hidden="0"/>
    </xf>
    <xf numFmtId="0" fontId="61" fillId="7" borderId="57" applyAlignment="1" pivotButton="0" quotePrefix="0" xfId="0">
      <alignment horizontal="left" vertical="center" wrapText="1"/>
    </xf>
    <xf numFmtId="0" fontId="61" fillId="7" borderId="58" applyAlignment="1" pivotButton="0" quotePrefix="0" xfId="0">
      <alignment horizontal="left" vertical="center" wrapText="1"/>
    </xf>
    <xf numFmtId="0" fontId="61" fillId="7" borderId="59" applyAlignment="1" pivotButton="0" quotePrefix="0" xfId="0">
      <alignment horizontal="left" vertical="center" wrapText="1"/>
    </xf>
    <xf numFmtId="0" fontId="38" fillId="2" borderId="55" applyAlignment="1" pivotButton="0" quotePrefix="0" xfId="0">
      <alignment horizontal="left" vertical="top"/>
    </xf>
    <xf numFmtId="0" fontId="38" fillId="2" borderId="0" applyAlignment="1" pivotButton="0" quotePrefix="0" xfId="0">
      <alignment horizontal="left" vertical="top"/>
    </xf>
    <xf numFmtId="0" fontId="38" fillId="2" borderId="56" applyAlignment="1" pivotButton="0" quotePrefix="0" xfId="0">
      <alignment horizontal="left" vertical="top"/>
    </xf>
    <xf numFmtId="0" fontId="38" fillId="2" borderId="55" applyAlignment="1" pivotButton="0" quotePrefix="0" xfId="0">
      <alignment horizontal="left" vertical="top" wrapText="1"/>
    </xf>
    <xf numFmtId="0" fontId="38" fillId="2" borderId="0" applyAlignment="1" pivotButton="0" quotePrefix="0" xfId="0">
      <alignment horizontal="left" vertical="top" wrapText="1"/>
    </xf>
    <xf numFmtId="0" fontId="38" fillId="2" borderId="56" applyAlignment="1" pivotButton="0" quotePrefix="0" xfId="0">
      <alignment horizontal="left" vertical="top" wrapText="1"/>
    </xf>
    <xf numFmtId="0" fontId="38" fillId="2" borderId="57" applyAlignment="1" pivotButton="0" quotePrefix="0" xfId="0">
      <alignment horizontal="left" vertical="top" wrapText="1"/>
    </xf>
    <xf numFmtId="0" fontId="38" fillId="2" borderId="58" applyAlignment="1" pivotButton="0" quotePrefix="0" xfId="0">
      <alignment horizontal="left" vertical="top" wrapText="1"/>
    </xf>
    <xf numFmtId="0" fontId="38" fillId="2" borderId="59" applyAlignment="1" pivotButton="0" quotePrefix="0" xfId="0">
      <alignment horizontal="left" vertical="top" wrapText="1"/>
    </xf>
    <xf numFmtId="0" fontId="27" fillId="5" borderId="52" applyAlignment="1" pivotButton="0" quotePrefix="0" xfId="0">
      <alignment horizontal="center" vertical="center" wrapText="1"/>
    </xf>
    <xf numFmtId="0" fontId="27" fillId="5" borderId="53" applyAlignment="1" pivotButton="0" quotePrefix="0" xfId="0">
      <alignment horizontal="center" vertical="center" wrapText="1"/>
    </xf>
    <xf numFmtId="0" fontId="27" fillId="5" borderId="54" applyAlignment="1" pivotButton="0" quotePrefix="0" xfId="0">
      <alignment horizontal="center" vertical="center" wrapText="1"/>
    </xf>
    <xf numFmtId="0" fontId="27" fillId="5" borderId="55" applyAlignment="1" pivotButton="0" quotePrefix="0" xfId="0">
      <alignment horizontal="center" vertical="center" wrapText="1"/>
    </xf>
    <xf numFmtId="0" fontId="27" fillId="5" borderId="0" applyAlignment="1" pivotButton="0" quotePrefix="0" xfId="0">
      <alignment horizontal="center" vertical="center" wrapText="1"/>
    </xf>
    <xf numFmtId="0" fontId="27" fillId="5" borderId="56" applyAlignment="1" pivotButton="0" quotePrefix="0" xfId="0">
      <alignment horizontal="center" vertical="center" wrapText="1"/>
    </xf>
    <xf numFmtId="0" fontId="27" fillId="5" borderId="57" applyAlignment="1" pivotButton="0" quotePrefix="0" xfId="0">
      <alignment horizontal="center" vertical="center" wrapText="1"/>
    </xf>
    <xf numFmtId="0" fontId="27" fillId="5" borderId="58" applyAlignment="1" pivotButton="0" quotePrefix="0" xfId="0">
      <alignment horizontal="center" vertical="center" wrapText="1"/>
    </xf>
    <xf numFmtId="0" fontId="27" fillId="5" borderId="59" applyAlignment="1" pivotButton="0" quotePrefix="0" xfId="0">
      <alignment horizontal="center" vertical="center" wrapText="1"/>
    </xf>
    <xf numFmtId="0" fontId="58" fillId="7" borderId="52" applyAlignment="1" pivotButton="0" quotePrefix="0" xfId="0">
      <alignment horizontal="center"/>
    </xf>
    <xf numFmtId="0" fontId="58" fillId="7" borderId="53" applyAlignment="1" pivotButton="0" quotePrefix="0" xfId="0">
      <alignment horizontal="center"/>
    </xf>
    <xf numFmtId="0" fontId="58" fillId="7" borderId="54" applyAlignment="1" pivotButton="0" quotePrefix="0" xfId="0">
      <alignment horizontal="center"/>
    </xf>
    <xf numFmtId="0" fontId="37" fillId="2" borderId="52" applyAlignment="1" pivotButton="0" quotePrefix="0" xfId="0">
      <alignment horizontal="left" vertical="center" wrapText="1"/>
    </xf>
    <xf numFmtId="0" fontId="37" fillId="2" borderId="53" applyAlignment="1" pivotButton="0" quotePrefix="0" xfId="0">
      <alignment horizontal="left" vertical="center" wrapText="1"/>
    </xf>
    <xf numFmtId="0" fontId="37" fillId="2" borderId="54" applyAlignment="1" pivotButton="0" quotePrefix="0" xfId="0">
      <alignment horizontal="left" vertical="center" wrapText="1"/>
    </xf>
    <xf numFmtId="0" fontId="37" fillId="2" borderId="55" applyAlignment="1" pivotButton="0" quotePrefix="0" xfId="0">
      <alignment horizontal="left" vertical="center" wrapText="1"/>
    </xf>
    <xf numFmtId="0" fontId="37" fillId="2" borderId="0" applyAlignment="1" pivotButton="0" quotePrefix="0" xfId="0">
      <alignment horizontal="left" vertical="center" wrapText="1"/>
    </xf>
    <xf numFmtId="0" fontId="37" fillId="2" borderId="56" applyAlignment="1" pivotButton="0" quotePrefix="0" xfId="0">
      <alignment horizontal="left" vertical="center" wrapText="1"/>
    </xf>
    <xf numFmtId="0" fontId="9" fillId="0" borderId="0" applyAlignment="1" pivotButton="0" quotePrefix="0" xfId="8">
      <alignment horizontal="left" indent="5"/>
    </xf>
    <xf numFmtId="0" fontId="27" fillId="5" borderId="52" applyAlignment="1" pivotButton="0" quotePrefix="0" xfId="0">
      <alignment horizontal="right" vertical="center" wrapText="1"/>
    </xf>
    <xf numFmtId="0" fontId="27" fillId="5" borderId="53" applyAlignment="1" pivotButton="0" quotePrefix="0" xfId="0">
      <alignment horizontal="right" vertical="center" wrapText="1"/>
    </xf>
    <xf numFmtId="0" fontId="27" fillId="5" borderId="54" applyAlignment="1" pivotButton="0" quotePrefix="0" xfId="0">
      <alignment horizontal="right" vertical="center" wrapText="1"/>
    </xf>
    <xf numFmtId="0" fontId="64" fillId="0" borderId="55" applyAlignment="1" pivotButton="0" quotePrefix="0" xfId="8">
      <alignment horizontal="left" indent="5"/>
    </xf>
    <xf numFmtId="0" fontId="64" fillId="0" borderId="0" applyAlignment="1" pivotButton="0" quotePrefix="0" xfId="8">
      <alignment horizontal="left" indent="5"/>
    </xf>
    <xf numFmtId="0" fontId="64" fillId="0" borderId="57" applyAlignment="1" pivotButton="0" quotePrefix="0" xfId="8">
      <alignment horizontal="left" indent="5"/>
    </xf>
    <xf numFmtId="0" fontId="64" fillId="0" borderId="58" applyAlignment="1" pivotButton="0" quotePrefix="0" xfId="8">
      <alignment horizontal="left" indent="5"/>
    </xf>
    <xf numFmtId="0" fontId="40" fillId="2" borderId="0" applyAlignment="1" pivotButton="0" quotePrefix="0" xfId="0">
      <alignment horizontal="left" vertical="top" wrapText="1"/>
    </xf>
    <xf numFmtId="0" fontId="44" fillId="2" borderId="52" applyAlignment="1" pivotButton="0" quotePrefix="0" xfId="0">
      <alignment horizontal="left" vertical="top" wrapText="1"/>
    </xf>
    <xf numFmtId="0" fontId="44" fillId="2" borderId="53" applyAlignment="1" pivotButton="0" quotePrefix="0" xfId="0">
      <alignment horizontal="left" vertical="top" wrapText="1"/>
    </xf>
    <xf numFmtId="0" fontId="44" fillId="2" borderId="54" applyAlignment="1" pivotButton="0" quotePrefix="0" xfId="0">
      <alignment horizontal="left" vertical="top" wrapText="1"/>
    </xf>
    <xf numFmtId="0" fontId="44" fillId="2" borderId="55" applyAlignment="1" pivotButton="0" quotePrefix="0" xfId="0">
      <alignment horizontal="left" vertical="top" wrapText="1"/>
    </xf>
    <xf numFmtId="0" fontId="44" fillId="2" borderId="0" applyAlignment="1" pivotButton="0" quotePrefix="0" xfId="0">
      <alignment horizontal="left" vertical="top" wrapText="1"/>
    </xf>
    <xf numFmtId="0" fontId="44" fillId="2" borderId="56" applyAlignment="1" pivotButton="0" quotePrefix="0" xfId="0">
      <alignment horizontal="left" vertical="top" wrapText="1"/>
    </xf>
    <xf numFmtId="0" fontId="44" fillId="2" borderId="57" applyAlignment="1" pivotButton="0" quotePrefix="0" xfId="0">
      <alignment horizontal="left" vertical="top" wrapText="1"/>
    </xf>
    <xf numFmtId="0" fontId="44" fillId="2" borderId="58" applyAlignment="1" pivotButton="0" quotePrefix="0" xfId="0">
      <alignment horizontal="left" vertical="top" wrapText="1"/>
    </xf>
    <xf numFmtId="0" fontId="44" fillId="2" borderId="59" applyAlignment="1" pivotButton="0" quotePrefix="0" xfId="0">
      <alignment horizontal="left" vertical="top" wrapText="1"/>
    </xf>
    <xf numFmtId="0" fontId="72" fillId="5" borderId="136" applyAlignment="1" pivotButton="0" quotePrefix="0" xfId="0">
      <alignment horizontal="center" vertical="center" wrapText="1"/>
    </xf>
    <xf numFmtId="0" fontId="72" fillId="5" borderId="140" applyAlignment="1" pivotButton="0" quotePrefix="0" xfId="0">
      <alignment horizontal="center" vertical="center" wrapText="1"/>
    </xf>
    <xf numFmtId="166" fontId="44" fillId="2" borderId="134" applyAlignment="1" pivotButton="0" quotePrefix="0" xfId="0">
      <alignment horizontal="center" vertical="top" wrapText="1"/>
    </xf>
    <xf numFmtId="166" fontId="44" fillId="2" borderId="135" applyAlignment="1" pivotButton="0" quotePrefix="0" xfId="0">
      <alignment horizontal="center" vertical="top" wrapText="1"/>
    </xf>
    <xf numFmtId="0" fontId="73" fillId="5" borderId="52" applyAlignment="1" pivotButton="0" quotePrefix="0" xfId="0">
      <alignment horizontal="center" vertical="center" wrapText="1"/>
    </xf>
    <xf numFmtId="0" fontId="73" fillId="5" borderId="53" applyAlignment="1" pivotButton="0" quotePrefix="0" xfId="0">
      <alignment horizontal="center" vertical="center" wrapText="1"/>
    </xf>
    <xf numFmtId="14" fontId="44" fillId="2" borderId="134" applyAlignment="1" pivotButton="0" quotePrefix="0" xfId="0">
      <alignment horizontal="center" vertical="top" wrapText="1"/>
    </xf>
    <xf numFmtId="14" fontId="44" fillId="2" borderId="135" applyAlignment="1" pivotButton="0" quotePrefix="0" xfId="0">
      <alignment horizontal="center" vertical="top" wrapText="1"/>
    </xf>
    <xf numFmtId="0" fontId="72" fillId="5" borderId="138" applyAlignment="1" pivotButton="0" quotePrefix="0" xfId="0">
      <alignment horizontal="center" vertical="center" wrapText="1"/>
    </xf>
    <xf numFmtId="0" fontId="72" fillId="5" borderId="139" applyAlignment="1" pivotButton="0" quotePrefix="0" xfId="0">
      <alignment horizontal="center" vertical="center" wrapText="1"/>
    </xf>
    <xf numFmtId="0" fontId="44" fillId="2" borderId="134" applyAlignment="1" pivotButton="0" quotePrefix="0" xfId="0">
      <alignment horizontal="center" vertical="top" wrapText="1"/>
    </xf>
    <xf numFmtId="0" fontId="44" fillId="2" borderId="135" applyAlignment="1" pivotButton="0" quotePrefix="0" xfId="0">
      <alignment horizontal="center" vertical="top" wrapText="1"/>
    </xf>
    <xf numFmtId="0" fontId="72" fillId="5" borderId="137" applyAlignment="1" pivotButton="0" quotePrefix="0" xfId="0">
      <alignment horizontal="center" vertical="center" wrapText="1"/>
    </xf>
    <xf numFmtId="0" fontId="15" fillId="0" borderId="14" applyAlignment="1" applyProtection="1" pivotButton="0" quotePrefix="0" xfId="0">
      <alignment vertical="center"/>
      <protection locked="0" hidden="0"/>
    </xf>
    <xf numFmtId="0" fontId="15" fillId="0" borderId="8" applyAlignment="1" applyProtection="1" pivotButton="0" quotePrefix="0" xfId="0">
      <alignment vertical="center"/>
      <protection locked="0" hidden="0"/>
    </xf>
    <xf numFmtId="0" fontId="15" fillId="0" borderId="13" applyAlignment="1" applyProtection="1" pivotButton="0" quotePrefix="0" xfId="0">
      <alignment vertical="center"/>
      <protection locked="0" hidden="0"/>
    </xf>
    <xf numFmtId="0" fontId="15" fillId="0" borderId="12" applyAlignment="1" applyProtection="1" pivotButton="0" quotePrefix="0" xfId="0">
      <alignment vertical="center"/>
      <protection locked="0" hidden="0"/>
    </xf>
    <xf numFmtId="0" fontId="15" fillId="0" borderId="17" applyAlignment="1" applyProtection="1" pivotButton="0" quotePrefix="0" xfId="0">
      <alignment vertical="center"/>
      <protection locked="0" hidden="0"/>
    </xf>
    <xf numFmtId="0" fontId="15" fillId="0" borderId="18" applyAlignment="1" applyProtection="1" pivotButton="0" quotePrefix="0" xfId="0">
      <alignment vertical="center"/>
      <protection locked="0" hidden="0"/>
    </xf>
    <xf numFmtId="0" fontId="15" fillId="2" borderId="57" applyAlignment="1" applyProtection="1" pivotButton="0" quotePrefix="0" xfId="0">
      <alignment horizontal="left" vertical="top" wrapText="1"/>
      <protection locked="0" hidden="0"/>
    </xf>
    <xf numFmtId="0" fontId="15" fillId="2" borderId="58" applyAlignment="1" applyProtection="1" pivotButton="0" quotePrefix="0" xfId="0">
      <alignment horizontal="left" vertical="top" wrapText="1"/>
      <protection locked="0" hidden="0"/>
    </xf>
    <xf numFmtId="0" fontId="15" fillId="2" borderId="59" applyAlignment="1" applyProtection="1" pivotButton="0" quotePrefix="0" xfId="0">
      <alignment horizontal="left" vertical="top" wrapText="1"/>
      <protection locked="0" hidden="0"/>
    </xf>
    <xf numFmtId="0" fontId="25" fillId="0" borderId="95" applyAlignment="1" pivotButton="0" quotePrefix="0" xfId="0">
      <alignment horizontal="left" vertical="top"/>
    </xf>
    <xf numFmtId="0" fontId="25" fillId="0" borderId="96" applyAlignment="1" pivotButton="0" quotePrefix="0" xfId="0">
      <alignment horizontal="left" vertical="top"/>
    </xf>
    <xf numFmtId="0" fontId="25" fillId="0" borderId="78" applyAlignment="1" pivotButton="0" quotePrefix="0" xfId="0">
      <alignment horizontal="left" vertical="top"/>
    </xf>
    <xf numFmtId="0" fontId="19" fillId="5" borderId="52" applyAlignment="1" pivotButton="0" quotePrefix="0" xfId="0">
      <alignment horizontal="left" vertical="top"/>
    </xf>
    <xf numFmtId="0" fontId="19" fillId="5" borderId="53" applyAlignment="1" pivotButton="0" quotePrefix="0" xfId="0">
      <alignment horizontal="left" vertical="top"/>
    </xf>
    <xf numFmtId="0" fontId="19" fillId="5" borderId="54" applyAlignment="1" pivotButton="0" quotePrefix="0" xfId="0">
      <alignment horizontal="left" vertical="top"/>
    </xf>
    <xf numFmtId="0" fontId="35" fillId="5" borderId="96" applyAlignment="1" pivotButton="0" quotePrefix="0" xfId="0">
      <alignment horizontal="right" vertical="center"/>
    </xf>
    <xf numFmtId="0" fontId="15" fillId="0" borderId="15" applyAlignment="1" applyProtection="1" pivotButton="0" quotePrefix="0" xfId="0">
      <alignment vertical="center"/>
      <protection locked="0" hidden="0"/>
    </xf>
    <xf numFmtId="0" fontId="15" fillId="0" borderId="58" applyAlignment="1" applyProtection="1" pivotButton="0" quotePrefix="0" xfId="0">
      <alignment vertical="center"/>
      <protection locked="0" hidden="0"/>
    </xf>
    <xf numFmtId="0" fontId="15" fillId="0" borderId="94" applyAlignment="1" applyProtection="1" pivotButton="0" quotePrefix="0" xfId="0">
      <alignment vertical="center"/>
      <protection locked="0" hidden="0"/>
    </xf>
    <xf numFmtId="0" fontId="15" fillId="0" borderId="0" applyAlignment="1" applyProtection="1" pivotButton="0" quotePrefix="0" xfId="0">
      <alignment vertical="center"/>
      <protection locked="0" hidden="0"/>
    </xf>
    <xf numFmtId="0" fontId="15" fillId="0" borderId="10" applyAlignment="1" applyProtection="1" pivotButton="0" quotePrefix="0" xfId="0">
      <alignment vertical="center"/>
      <protection locked="0" hidden="0"/>
    </xf>
    <xf numFmtId="0" fontId="15" fillId="0" borderId="180" applyAlignment="1" applyProtection="1" pivotButton="0" quotePrefix="0" xfId="0">
      <alignment vertical="center"/>
      <protection locked="0" hidden="0"/>
    </xf>
    <xf numFmtId="0" fontId="15" fillId="0" borderId="181" applyAlignment="1" applyProtection="1" pivotButton="0" quotePrefix="0" xfId="0">
      <alignment vertical="center"/>
      <protection locked="0" hidden="0"/>
    </xf>
    <xf numFmtId="0" fontId="35" fillId="5" borderId="75" applyAlignment="1" pivotButton="0" quotePrefix="0" xfId="0">
      <alignment horizontal="right" vertical="center"/>
    </xf>
    <xf numFmtId="0" fontId="35" fillId="5" borderId="76" applyAlignment="1" pivotButton="0" quotePrefix="0" xfId="0">
      <alignment horizontal="right" vertical="center"/>
    </xf>
    <xf numFmtId="0" fontId="35" fillId="5" borderId="77" applyAlignment="1" pivotButton="0" quotePrefix="0" xfId="0">
      <alignment horizontal="right" vertical="center"/>
    </xf>
    <xf numFmtId="0" fontId="17" fillId="5" borderId="86" applyAlignment="1" pivotButton="0" quotePrefix="0" xfId="0">
      <alignment horizontal="center" vertical="center" wrapText="1"/>
    </xf>
    <xf numFmtId="0" fontId="17" fillId="5" borderId="87" applyAlignment="1" pivotButton="0" quotePrefix="0" xfId="0">
      <alignment horizontal="center" vertical="center" wrapText="1"/>
    </xf>
    <xf numFmtId="0" fontId="15" fillId="0" borderId="22" applyAlignment="1" applyProtection="1" pivotButton="0" quotePrefix="0" xfId="0">
      <alignment vertical="center"/>
      <protection locked="0" hidden="0"/>
    </xf>
    <xf numFmtId="0" fontId="15" fillId="0" borderId="19" applyAlignment="1" applyProtection="1" pivotButton="0" quotePrefix="0" xfId="0">
      <alignment vertical="center"/>
      <protection locked="0" hidden="0"/>
    </xf>
    <xf numFmtId="0" fontId="15" fillId="0" borderId="182" applyAlignment="1" applyProtection="1" pivotButton="0" quotePrefix="0" xfId="0">
      <alignment vertical="center"/>
      <protection locked="0" hidden="0"/>
    </xf>
    <xf numFmtId="0" fontId="15" fillId="0" borderId="183" applyAlignment="1" applyProtection="1" pivotButton="0" quotePrefix="0" xfId="0">
      <alignment vertical="center"/>
      <protection locked="0" hidden="0"/>
    </xf>
    <xf numFmtId="0" fontId="15" fillId="0" borderId="178" applyAlignment="1" applyProtection="1" pivotButton="0" quotePrefix="0" xfId="0">
      <alignment vertical="center"/>
      <protection locked="0" hidden="0"/>
    </xf>
    <xf numFmtId="0" fontId="15" fillId="0" borderId="179" applyAlignment="1" applyProtection="1" pivotButton="0" quotePrefix="0" xfId="0">
      <alignment vertical="center"/>
      <protection locked="0" hidden="0"/>
    </xf>
    <xf numFmtId="0" fontId="17" fillId="5" borderId="65" applyAlignment="1" pivotButton="0" quotePrefix="0" xfId="0">
      <alignment horizontal="center" vertical="center" wrapText="1"/>
    </xf>
    <xf numFmtId="0" fontId="36" fillId="2" borderId="52" applyAlignment="1" pivotButton="0" quotePrefix="0" xfId="0">
      <alignment horizontal="left" vertical="top" wrapText="1"/>
    </xf>
    <xf numFmtId="0" fontId="36" fillId="2" borderId="53" applyAlignment="1" pivotButton="0" quotePrefix="0" xfId="0">
      <alignment horizontal="left" vertical="top" wrapText="1"/>
    </xf>
    <xf numFmtId="0" fontId="36" fillId="2" borderId="54" applyAlignment="1" pivotButton="0" quotePrefix="0" xfId="0">
      <alignment horizontal="left" vertical="top" wrapText="1"/>
    </xf>
    <xf numFmtId="0" fontId="36" fillId="2" borderId="55" applyAlignment="1" pivotButton="0" quotePrefix="0" xfId="0">
      <alignment horizontal="left" vertical="top" wrapText="1"/>
    </xf>
    <xf numFmtId="0" fontId="36" fillId="2" borderId="0" applyAlignment="1" pivotButton="0" quotePrefix="0" xfId="0">
      <alignment horizontal="left" vertical="top" wrapText="1"/>
    </xf>
    <xf numFmtId="0" fontId="36" fillId="2" borderId="56" applyAlignment="1" pivotButton="0" quotePrefix="0" xfId="0">
      <alignment horizontal="left" vertical="top" wrapText="1"/>
    </xf>
    <xf numFmtId="0" fontId="36" fillId="2" borderId="57" applyAlignment="1" pivotButton="0" quotePrefix="0" xfId="0">
      <alignment horizontal="left" vertical="top" wrapText="1"/>
    </xf>
    <xf numFmtId="0" fontId="36" fillId="2" borderId="58" applyAlignment="1" pivotButton="0" quotePrefix="0" xfId="0">
      <alignment horizontal="left" vertical="top" wrapText="1"/>
    </xf>
    <xf numFmtId="0" fontId="36" fillId="2" borderId="59" applyAlignment="1" pivotButton="0" quotePrefix="0" xfId="0">
      <alignment horizontal="left" vertical="top" wrapText="1"/>
    </xf>
    <xf numFmtId="0" fontId="15" fillId="2" borderId="52" applyAlignment="1" applyProtection="1" pivotButton="0" quotePrefix="0" xfId="0">
      <alignment horizontal="center" vertical="top"/>
      <protection locked="0" hidden="0"/>
    </xf>
    <xf numFmtId="0" fontId="15" fillId="2" borderId="53" applyAlignment="1" applyProtection="1" pivotButton="0" quotePrefix="0" xfId="0">
      <alignment horizontal="center" vertical="top"/>
      <protection locked="0" hidden="0"/>
    </xf>
    <xf numFmtId="0" fontId="15" fillId="2" borderId="54" applyAlignment="1" applyProtection="1" pivotButton="0" quotePrefix="0" xfId="0">
      <alignment horizontal="center" vertical="top"/>
      <protection locked="0" hidden="0"/>
    </xf>
    <xf numFmtId="0" fontId="15" fillId="2" borderId="55" applyAlignment="1" applyProtection="1" pivotButton="0" quotePrefix="0" xfId="0">
      <alignment horizontal="center" vertical="top"/>
      <protection locked="0" hidden="0"/>
    </xf>
    <xf numFmtId="0" fontId="15" fillId="2" borderId="0" applyAlignment="1" applyProtection="1" pivotButton="0" quotePrefix="0" xfId="0">
      <alignment horizontal="center" vertical="top"/>
      <protection locked="0" hidden="0"/>
    </xf>
    <xf numFmtId="0" fontId="15" fillId="2" borderId="56" applyAlignment="1" applyProtection="1" pivotButton="0" quotePrefix="0" xfId="0">
      <alignment horizontal="center" vertical="top"/>
      <protection locked="0" hidden="0"/>
    </xf>
    <xf numFmtId="0" fontId="15" fillId="2" borderId="57" applyAlignment="1" applyProtection="1" pivotButton="0" quotePrefix="0" xfId="0">
      <alignment horizontal="center" vertical="top"/>
      <protection locked="0" hidden="0"/>
    </xf>
    <xf numFmtId="0" fontId="15" fillId="2" borderId="58" applyAlignment="1" applyProtection="1" pivotButton="0" quotePrefix="0" xfId="0">
      <alignment horizontal="center" vertical="top"/>
      <protection locked="0" hidden="0"/>
    </xf>
    <xf numFmtId="0" fontId="15" fillId="2" borderId="59" applyAlignment="1" applyProtection="1" pivotButton="0" quotePrefix="0" xfId="0">
      <alignment horizontal="center" vertical="top"/>
      <protection locked="0" hidden="0"/>
    </xf>
    <xf numFmtId="0" fontId="59" fillId="0" borderId="75" applyAlignment="1" pivotButton="0" quotePrefix="0" xfId="0">
      <alignment horizontal="left" vertical="center"/>
    </xf>
    <xf numFmtId="0" fontId="59" fillId="0" borderId="77" applyAlignment="1" pivotButton="0" quotePrefix="0" xfId="0">
      <alignment horizontal="left" vertical="center"/>
    </xf>
    <xf numFmtId="0" fontId="43" fillId="2" borderId="42" applyAlignment="1" pivotButton="0" quotePrefix="0" xfId="0">
      <alignment horizontal="left" vertical="top" wrapText="1"/>
    </xf>
    <xf numFmtId="0" fontId="43" fillId="2" borderId="43" applyAlignment="1" pivotButton="0" quotePrefix="0" xfId="0">
      <alignment horizontal="left" vertical="top" wrapText="1"/>
    </xf>
    <xf numFmtId="0" fontId="43" fillId="2" borderId="44" applyAlignment="1" pivotButton="0" quotePrefix="0" xfId="0">
      <alignment horizontal="left" vertical="top" wrapText="1"/>
    </xf>
    <xf numFmtId="0" fontId="43" fillId="2" borderId="45" applyAlignment="1" pivotButton="0" quotePrefix="0" xfId="0">
      <alignment horizontal="left" vertical="top" wrapText="1"/>
    </xf>
    <xf numFmtId="0" fontId="43" fillId="2" borderId="0" applyAlignment="1" pivotButton="0" quotePrefix="0" xfId="0">
      <alignment horizontal="left" vertical="top" wrapText="1"/>
    </xf>
    <xf numFmtId="0" fontId="43" fillId="2" borderId="46" applyAlignment="1" pivotButton="0" quotePrefix="0" xfId="0">
      <alignment horizontal="left" vertical="top" wrapText="1"/>
    </xf>
    <xf numFmtId="0" fontId="43" fillId="2" borderId="47" applyAlignment="1" pivotButton="0" quotePrefix="0" xfId="0">
      <alignment horizontal="left" vertical="top" wrapText="1"/>
    </xf>
    <xf numFmtId="0" fontId="43" fillId="2" borderId="48" applyAlignment="1" pivotButton="0" quotePrefix="0" xfId="0">
      <alignment horizontal="left" vertical="top" wrapText="1"/>
    </xf>
    <xf numFmtId="0" fontId="43" fillId="2" borderId="49" applyAlignment="1" pivotButton="0" quotePrefix="0" xfId="0">
      <alignment horizontal="left" vertical="top" wrapText="1"/>
    </xf>
    <xf numFmtId="0" fontId="19" fillId="12" borderId="185" applyAlignment="1" pivotButton="0" quotePrefix="0" xfId="0">
      <alignment horizontal="left" vertical="center"/>
    </xf>
    <xf numFmtId="0" fontId="61" fillId="0" borderId="185" applyAlignment="1" pivotButton="0" quotePrefix="0" xfId="0">
      <alignment horizontal="left" vertical="center"/>
    </xf>
    <xf numFmtId="0" fontId="60" fillId="2" borderId="185" applyAlignment="1" applyProtection="1" pivotButton="0" quotePrefix="0" xfId="0">
      <alignment horizontal="left" vertical="top"/>
      <protection locked="0" hidden="0"/>
    </xf>
    <xf numFmtId="0" fontId="60" fillId="2" borderId="185" applyAlignment="1" pivotButton="0" quotePrefix="0" xfId="0">
      <alignment vertical="top" wrapText="1"/>
    </xf>
    <xf numFmtId="0" fontId="18" fillId="12" borderId="185" applyAlignment="1" pivotButton="0" quotePrefix="0" xfId="0">
      <alignment horizontal="center" vertical="center"/>
    </xf>
    <xf numFmtId="0" fontId="61" fillId="11" borderId="185" applyAlignment="1" pivotButton="0" quotePrefix="0" xfId="0">
      <alignment horizontal="right" vertical="center"/>
    </xf>
    <xf numFmtId="0" fontId="35" fillId="12" borderId="185" applyAlignment="1" pivotButton="0" quotePrefix="0" xfId="0">
      <alignment horizontal="right" vertical="center"/>
    </xf>
    <xf numFmtId="0" fontId="0" fillId="0" borderId="0" applyAlignment="1" pivotButton="0" quotePrefix="0" xfId="0">
      <alignment horizontal="left" vertical="top" wrapText="1"/>
    </xf>
    <xf numFmtId="0" fontId="0" fillId="2" borderId="186"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42" applyProtection="1" pivotButton="0" quotePrefix="0" xfId="0">
      <protection locked="0" hidden="0"/>
    </xf>
    <xf numFmtId="0" fontId="48" fillId="2" borderId="187" applyAlignment="1" pivotButton="0" quotePrefix="0" xfId="0">
      <alignment horizontal="left" vertical="top" wrapText="1"/>
    </xf>
    <xf numFmtId="0" fontId="0" fillId="0" borderId="29" pivotButton="0" quotePrefix="0" xfId="0"/>
    <xf numFmtId="0" fontId="0" fillId="0" borderId="30" pivotButton="0" quotePrefix="0" xfId="0"/>
    <xf numFmtId="0" fontId="0" fillId="0" borderId="20" pivotButton="0" quotePrefix="0" xfId="0"/>
    <xf numFmtId="0" fontId="37" fillId="2" borderId="133" applyAlignment="1" pivotButton="0" quotePrefix="0" xfId="0">
      <alignment horizontal="left" vertical="center" wrapText="1"/>
    </xf>
    <xf numFmtId="0" fontId="0" fillId="0" borderId="53" pivotButton="0" quotePrefix="0" xfId="0"/>
    <xf numFmtId="0" fontId="0" fillId="0" borderId="54" pivotButton="0" quotePrefix="0" xfId="0"/>
    <xf numFmtId="0" fontId="0" fillId="0" borderId="55" pivotButton="0" quotePrefix="0" xfId="0"/>
    <xf numFmtId="0" fontId="0" fillId="0" borderId="56" pivotButton="0" quotePrefix="0" xfId="0"/>
    <xf numFmtId="0" fontId="38" fillId="2" borderId="82" applyAlignment="1" pivotButton="0" quotePrefix="0" xfId="0">
      <alignment horizontal="left" vertical="top" wrapText="1"/>
    </xf>
    <xf numFmtId="0" fontId="38" fillId="2" borderId="82" applyAlignment="1" pivotButton="0" quotePrefix="0" xfId="0">
      <alignment horizontal="left" vertical="top"/>
    </xf>
    <xf numFmtId="0" fontId="38" fillId="2" borderId="84" applyAlignment="1" pivotButton="0" quotePrefix="0" xfId="0">
      <alignment horizontal="left" vertical="top" wrapText="1"/>
    </xf>
    <xf numFmtId="0" fontId="0" fillId="0" borderId="58" pivotButton="0" quotePrefix="0" xfId="0"/>
    <xf numFmtId="0" fontId="0" fillId="0" borderId="59" pivotButton="0" quotePrefix="0" xfId="0"/>
    <xf numFmtId="0" fontId="27" fillId="5" borderId="51" applyAlignment="1" pivotButton="0" quotePrefix="0" xfId="0">
      <alignment horizontal="left" vertical="center" wrapText="1"/>
    </xf>
    <xf numFmtId="0" fontId="27" fillId="5" borderId="51" applyAlignment="1" pivotButton="0" quotePrefix="0" xfId="0">
      <alignment horizontal="center" vertical="center" wrapText="1"/>
    </xf>
    <xf numFmtId="0" fontId="0" fillId="0" borderId="57" pivotButton="0" quotePrefix="0" xfId="0"/>
    <xf numFmtId="0" fontId="61" fillId="7" borderId="133" applyAlignment="1" pivotButton="0" quotePrefix="0" xfId="0">
      <alignment horizontal="left" vertical="center" wrapText="1"/>
    </xf>
    <xf numFmtId="0" fontId="58" fillId="7" borderId="133" applyAlignment="1" pivotButton="0" quotePrefix="0" xfId="0">
      <alignment horizontal="center"/>
    </xf>
    <xf numFmtId="0" fontId="60" fillId="0" borderId="51" applyAlignment="1" applyProtection="1" pivotButton="0" quotePrefix="0" xfId="0">
      <alignment horizontal="left" vertical="top" wrapText="1"/>
      <protection locked="0" hidden="0"/>
    </xf>
    <xf numFmtId="0" fontId="0" fillId="0" borderId="53" applyProtection="1" pivotButton="0" quotePrefix="0" xfId="0">
      <protection locked="0" hidden="0"/>
    </xf>
    <xf numFmtId="0" fontId="0" fillId="0" borderId="54" applyProtection="1" pivotButton="0" quotePrefix="0" xfId="0">
      <protection locked="0" hidden="0"/>
    </xf>
    <xf numFmtId="0" fontId="58" fillId="0" borderId="51" applyAlignment="1" pivotButton="0" quotePrefix="0" xfId="0">
      <alignment horizontal="left" vertical="top" wrapText="1"/>
    </xf>
    <xf numFmtId="0" fontId="0" fillId="0" borderId="55" applyProtection="1" pivotButton="0" quotePrefix="0" xfId="0">
      <protection locked="0" hidden="0"/>
    </xf>
    <xf numFmtId="0" fontId="0" fillId="0" borderId="56" applyProtection="1" pivotButton="0" quotePrefix="0" xfId="0">
      <protection locked="0" hidden="0"/>
    </xf>
    <xf numFmtId="0" fontId="0" fillId="0" borderId="57" applyProtection="1" pivotButton="0" quotePrefix="0" xfId="0">
      <protection locked="0" hidden="0"/>
    </xf>
    <xf numFmtId="0" fontId="0" fillId="0" borderId="58" applyProtection="1" pivotButton="0" quotePrefix="0" xfId="0">
      <protection locked="0" hidden="0"/>
    </xf>
    <xf numFmtId="0" fontId="0" fillId="0" borderId="59" applyProtection="1" pivotButton="0" quotePrefix="0" xfId="0">
      <protection locked="0" hidden="0"/>
    </xf>
    <xf numFmtId="0" fontId="59" fillId="6" borderId="133" applyAlignment="1" pivotButton="0" quotePrefix="0" xfId="0">
      <alignment horizontal="left" vertical="center" wrapText="1"/>
    </xf>
    <xf numFmtId="0" fontId="0" fillId="6" borderId="133" applyAlignment="1" pivotButton="0" quotePrefix="0" xfId="0">
      <alignment horizontal="center"/>
    </xf>
    <xf numFmtId="0" fontId="61" fillId="7" borderId="84" applyAlignment="1" pivotButton="0" quotePrefix="0" xfId="0">
      <alignment horizontal="left" vertical="center" wrapText="1"/>
    </xf>
    <xf numFmtId="0" fontId="58" fillId="7" borderId="84" applyAlignment="1" pivotButton="0" quotePrefix="0" xfId="0">
      <alignment horizontal="center"/>
    </xf>
    <xf numFmtId="0" fontId="61" fillId="7" borderId="51" applyAlignment="1" pivotButton="0" quotePrefix="0" xfId="0">
      <alignment horizontal="left" vertical="center" wrapText="1"/>
    </xf>
    <xf numFmtId="0" fontId="0" fillId="0" borderId="96" pivotButton="0" quotePrefix="0" xfId="0"/>
    <xf numFmtId="0" fontId="0" fillId="0" borderId="78" pivotButton="0" quotePrefix="0" xfId="0"/>
    <xf numFmtId="0" fontId="58" fillId="7" borderId="51" applyAlignment="1" pivotButton="0" quotePrefix="0" xfId="0">
      <alignment horizontal="center"/>
    </xf>
    <xf numFmtId="0" fontId="61" fillId="7" borderId="82" applyAlignment="1" pivotButton="0" quotePrefix="0" xfId="0">
      <alignment horizontal="center" vertical="center" wrapText="1"/>
    </xf>
    <xf numFmtId="0" fontId="0" fillId="0" borderId="157" applyProtection="1" pivotButton="0" quotePrefix="0" xfId="0">
      <protection locked="0" hidden="0"/>
    </xf>
    <xf numFmtId="0" fontId="0" fillId="0" borderId="158" applyProtection="1" pivotButton="0" quotePrefix="0" xfId="0">
      <protection locked="0" hidden="0"/>
    </xf>
    <xf numFmtId="0" fontId="60" fillId="0" borderId="82" applyAlignment="1" applyProtection="1" pivotButton="0" quotePrefix="0" xfId="0">
      <alignment horizontal="center" vertical="center" wrapText="1"/>
      <protection locked="0" hidden="0"/>
    </xf>
    <xf numFmtId="0" fontId="0" fillId="0" borderId="162" applyProtection="1" pivotButton="0" quotePrefix="0" xfId="0">
      <protection locked="0" hidden="0"/>
    </xf>
    <xf numFmtId="0" fontId="0" fillId="0" borderId="165" applyProtection="1" pivotButton="0" quotePrefix="0" xfId="0">
      <protection locked="0" hidden="0"/>
    </xf>
    <xf numFmtId="0" fontId="60" fillId="0" borderId="190" applyAlignment="1" applyProtection="1" pivotButton="0" quotePrefix="0" xfId="0">
      <alignment horizontal="center" vertical="center" wrapText="1"/>
      <protection locked="0" hidden="0"/>
    </xf>
    <xf numFmtId="0" fontId="0" fillId="0" borderId="160" applyProtection="1" pivotButton="0" quotePrefix="0" xfId="0">
      <protection locked="0" hidden="0"/>
    </xf>
    <xf numFmtId="0" fontId="0" fillId="0" borderId="161" applyProtection="1" pivotButton="0" quotePrefix="0" xfId="0">
      <protection locked="0" hidden="0"/>
    </xf>
    <xf numFmtId="0" fontId="60" fillId="0" borderId="191" applyAlignment="1" applyProtection="1" pivotButton="0" quotePrefix="0" xfId="0">
      <alignment horizontal="center" vertical="center" wrapText="1"/>
      <protection locked="0" hidden="0"/>
    </xf>
    <xf numFmtId="0" fontId="0" fillId="0" borderId="167" applyProtection="1" pivotButton="0" quotePrefix="0" xfId="0">
      <protection locked="0" hidden="0"/>
    </xf>
    <xf numFmtId="0" fontId="0" fillId="0" borderId="168" applyProtection="1" pivotButton="0" quotePrefix="0" xfId="0">
      <protection locked="0" hidden="0"/>
    </xf>
    <xf numFmtId="0" fontId="19" fillId="5" borderId="51" applyAlignment="1" pivotButton="0" quotePrefix="0" xfId="0">
      <alignment horizontal="left" vertical="center" wrapText="1"/>
    </xf>
    <xf numFmtId="0" fontId="0" fillId="5" borderId="51" applyAlignment="1" pivotButton="0" quotePrefix="0" xfId="0">
      <alignment horizontal="center"/>
    </xf>
    <xf numFmtId="0" fontId="76" fillId="12" borderId="51" applyAlignment="1" pivotButton="0" quotePrefix="0" xfId="0">
      <alignment horizontal="center" vertical="center" wrapText="1"/>
    </xf>
    <xf numFmtId="0" fontId="59" fillId="6" borderId="192" applyAlignment="1" pivotButton="0" quotePrefix="0" xfId="0">
      <alignment horizontal="center" vertical="center" wrapText="1"/>
    </xf>
    <xf numFmtId="0" fontId="0" fillId="0" borderId="145" pivotButton="0" quotePrefix="0" xfId="0"/>
    <xf numFmtId="0" fontId="0" fillId="0" borderId="146" pivotButton="0" quotePrefix="0" xfId="0"/>
    <xf numFmtId="0" fontId="61" fillId="7" borderId="82" applyAlignment="1" pivotButton="0" quotePrefix="0" xfId="0">
      <alignment horizontal="left" vertical="center" wrapText="1"/>
    </xf>
    <xf numFmtId="0" fontId="58" fillId="11" borderId="51" applyAlignment="1" pivotButton="0" quotePrefix="0" xfId="0">
      <alignment horizontal="center" wrapText="1"/>
    </xf>
    <xf numFmtId="0" fontId="60" fillId="0" borderId="82" applyAlignment="1" pivotButton="0" quotePrefix="0" xfId="0">
      <alignment horizontal="left" vertical="top" wrapText="1"/>
    </xf>
    <xf numFmtId="0" fontId="77" fillId="0" borderId="51" applyAlignment="1" pivotButton="0" quotePrefix="0" xfId="0">
      <alignment horizontal="left" vertical="top" wrapText="1"/>
    </xf>
    <xf numFmtId="0" fontId="76" fillId="12" borderId="133" applyAlignment="1" pivotButton="0" quotePrefix="0" xfId="0">
      <alignment horizontal="left" vertical="center" wrapText="1"/>
    </xf>
    <xf numFmtId="0" fontId="76" fillId="12" borderId="133" applyAlignment="1" pivotButton="0" quotePrefix="0" xfId="0">
      <alignment horizontal="center" vertical="center" wrapText="1"/>
    </xf>
    <xf numFmtId="0" fontId="58" fillId="11" borderId="192" applyAlignment="1" pivotButton="0" quotePrefix="0" xfId="0">
      <alignment horizontal="center" vertical="top" wrapText="1"/>
    </xf>
    <xf numFmtId="0" fontId="0" fillId="0" borderId="148" pivotButton="0" quotePrefix="0" xfId="0"/>
    <xf numFmtId="0" fontId="0" fillId="0" borderId="149" pivotButton="0" quotePrefix="0" xfId="0"/>
    <xf numFmtId="0" fontId="66" fillId="7" borderId="192" applyAlignment="1" pivotButton="0" quotePrefix="0" xfId="0">
      <alignment horizontal="center" vertical="center" wrapText="1"/>
    </xf>
    <xf numFmtId="0" fontId="0" fillId="0" borderId="150" pivotButton="0" quotePrefix="0" xfId="0"/>
    <xf numFmtId="0" fontId="0" fillId="0" borderId="151" pivotButton="0" quotePrefix="0" xfId="0"/>
    <xf numFmtId="0" fontId="0" fillId="0" borderId="152" pivotButton="0" quotePrefix="0" xfId="0"/>
    <xf numFmtId="0" fontId="69" fillId="0" borderId="195" applyAlignment="1" pivotButton="0" quotePrefix="0" xfId="0">
      <alignment horizontal="left" vertical="top" wrapText="1"/>
    </xf>
    <xf numFmtId="0" fontId="0" fillId="0" borderId="170" pivotButton="0" quotePrefix="0" xfId="0"/>
    <xf numFmtId="0" fontId="58" fillId="0" borderId="84" applyAlignment="1" pivotButton="0" quotePrefix="0" xfId="0">
      <alignment horizontal="center" vertical="top" wrapText="1"/>
    </xf>
    <xf numFmtId="0" fontId="69" fillId="0" borderId="82" applyAlignment="1" pivotButton="0" quotePrefix="0" xfId="0">
      <alignment horizontal="left" vertical="top" wrapText="1"/>
    </xf>
    <xf numFmtId="0" fontId="77" fillId="0" borderId="193" applyAlignment="1" pivotButton="0" quotePrefix="0" xfId="0">
      <alignment horizontal="left" vertical="top" wrapText="1"/>
    </xf>
    <xf numFmtId="0" fontId="0" fillId="0" borderId="171" pivotButton="0" quotePrefix="0" xfId="0"/>
    <xf numFmtId="0" fontId="0" fillId="0" borderId="172" pivotButton="0" quotePrefix="0" xfId="0"/>
    <xf numFmtId="0" fontId="59" fillId="6" borderId="194" applyAlignment="1" pivotButton="0" quotePrefix="0" xfId="0">
      <alignment horizontal="center" vertical="center" wrapText="1"/>
    </xf>
    <xf numFmtId="0" fontId="0" fillId="0" borderId="153" pivotButton="0" quotePrefix="0" xfId="0"/>
    <xf numFmtId="0" fontId="0" fillId="0" borderId="154" pivotButton="0" quotePrefix="0" xfId="0"/>
    <xf numFmtId="0" fontId="61" fillId="7" borderId="192" applyAlignment="1" pivotButton="0" quotePrefix="0" xfId="0">
      <alignment horizontal="left" vertical="center" wrapText="1"/>
    </xf>
    <xf numFmtId="0" fontId="61" fillId="7" borderId="192" applyAlignment="1" pivotButton="0" quotePrefix="0" xfId="0">
      <alignment horizontal="center" vertical="center" wrapText="1"/>
    </xf>
    <xf numFmtId="0" fontId="60" fillId="0" borderId="82" applyAlignment="1" pivotButton="0" quotePrefix="0" xfId="0">
      <alignment horizontal="left" vertical="center" wrapText="1"/>
    </xf>
    <xf numFmtId="0" fontId="60" fillId="0" borderId="82" applyAlignment="1" pivotButton="0" quotePrefix="0" xfId="0">
      <alignment horizontal="center" vertical="center" wrapText="1"/>
    </xf>
    <xf numFmtId="0" fontId="77" fillId="0" borderId="82" applyAlignment="1" pivotButton="0" quotePrefix="0" xfId="0">
      <alignment horizontal="left" vertical="center" wrapText="1"/>
    </xf>
    <xf numFmtId="0" fontId="58" fillId="0" borderId="51" applyAlignment="1" pivotButton="0" quotePrefix="0" xfId="0">
      <alignment horizontal="center" wrapText="1"/>
    </xf>
    <xf numFmtId="0" fontId="60" fillId="0" borderId="192" applyAlignment="1" pivotButton="0" quotePrefix="0" xfId="0">
      <alignment horizontal="center" vertical="center" wrapText="1"/>
    </xf>
    <xf numFmtId="0" fontId="58" fillId="0" borderId="78" applyAlignment="1" pivotButton="0" quotePrefix="0" xfId="0">
      <alignment horizontal="center" wrapText="1"/>
    </xf>
    <xf numFmtId="0" fontId="61" fillId="11" borderId="192" applyAlignment="1" pivotButton="0" quotePrefix="0" xfId="0">
      <alignment horizontal="left" vertical="center" wrapText="1"/>
    </xf>
    <xf numFmtId="0" fontId="60" fillId="0" borderId="192" applyAlignment="1" pivotButton="0" quotePrefix="0" xfId="0">
      <alignment horizontal="left" vertical="center" wrapText="1"/>
    </xf>
    <xf numFmtId="0" fontId="58" fillId="0" borderId="78" applyAlignment="1" pivotButton="0" quotePrefix="0" xfId="0">
      <alignment horizontal="center" vertical="top" wrapText="1"/>
    </xf>
    <xf numFmtId="0" fontId="27" fillId="5" borderId="196" applyAlignment="1" pivotButton="0" quotePrefix="0" xfId="0">
      <alignment horizontal="left" vertical="center" wrapText="1"/>
    </xf>
    <xf numFmtId="0" fontId="0" fillId="0" borderId="23" pivotButton="0" quotePrefix="0" xfId="0"/>
    <xf numFmtId="0" fontId="58" fillId="11" borderId="194" applyAlignment="1" pivotButton="0" quotePrefix="0" xfId="0">
      <alignment horizontal="center" vertical="top" wrapText="1"/>
    </xf>
    <xf numFmtId="0" fontId="77" fillId="0" borderId="144" applyAlignment="1" pivotButton="0" quotePrefix="0" xfId="0">
      <alignment horizontal="left" vertical="top" wrapText="1"/>
    </xf>
    <xf numFmtId="0" fontId="58" fillId="0" borderId="192" applyAlignment="1" pivotButton="0" quotePrefix="0" xfId="0">
      <alignment horizontal="center" vertical="top" wrapText="1"/>
    </xf>
    <xf numFmtId="0" fontId="27" fillId="5" borderId="192" applyAlignment="1" pivotButton="0" quotePrefix="0" xfId="0">
      <alignment horizontal="left" vertical="center" wrapText="1"/>
    </xf>
    <xf numFmtId="0" fontId="76" fillId="12" borderId="78" applyAlignment="1" pivotButton="0" quotePrefix="0" xfId="0">
      <alignment horizontal="center" vertical="center" wrapText="1"/>
    </xf>
    <xf numFmtId="0" fontId="61" fillId="7" borderId="194" applyAlignment="1" pivotButton="0" quotePrefix="0" xfId="0">
      <alignment horizontal="center" vertical="center" wrapText="1"/>
    </xf>
    <xf numFmtId="0" fontId="66" fillId="7" borderId="198" applyAlignment="1" pivotButton="0" quotePrefix="0" xfId="0">
      <alignment horizontal="center" vertical="center" wrapText="1"/>
    </xf>
    <xf numFmtId="0" fontId="60" fillId="0" borderId="197" applyAlignment="1" pivotButton="0" quotePrefix="0" xfId="0">
      <alignment horizontal="left" vertical="center" wrapText="1"/>
    </xf>
    <xf numFmtId="0" fontId="0" fillId="0" borderId="24" pivotButton="0" quotePrefix="0" xfId="0"/>
    <xf numFmtId="0" fontId="69" fillId="0" borderId="197" applyAlignment="1" pivotButton="0" quotePrefix="0" xfId="0">
      <alignment horizontal="left" vertical="center" wrapText="1"/>
    </xf>
    <xf numFmtId="0" fontId="60" fillId="0" borderId="199" applyAlignment="1" pivotButton="0" quotePrefix="0" xfId="0">
      <alignment horizontal="center" vertical="top" wrapText="1"/>
    </xf>
    <xf numFmtId="0" fontId="60" fillId="0" borderId="197" applyAlignment="1" pivotButton="0" quotePrefix="0" xfId="0">
      <alignment horizontal="center" vertical="center" wrapText="1"/>
    </xf>
    <xf numFmtId="0" fontId="60" fillId="0" borderId="194" applyAlignment="1" pivotButton="0" quotePrefix="0" xfId="0">
      <alignment horizontal="left" vertical="center" wrapText="1"/>
    </xf>
    <xf numFmtId="0" fontId="61" fillId="4" borderId="192" applyAlignment="1" pivotButton="0" quotePrefix="0" xfId="0">
      <alignment horizontal="center" vertical="center" wrapText="1"/>
    </xf>
    <xf numFmtId="0" fontId="69" fillId="0" borderId="194" applyAlignment="1" pivotButton="0" quotePrefix="0" xfId="0">
      <alignment horizontal="left" vertical="center" wrapText="1"/>
    </xf>
    <xf numFmtId="0" fontId="69" fillId="0" borderId="201" applyAlignment="1" pivotButton="0" quotePrefix="0" xfId="0">
      <alignment horizontal="left" vertical="center" wrapText="1"/>
    </xf>
    <xf numFmtId="0" fontId="60" fillId="0" borderId="198" applyAlignment="1" pivotButton="0" quotePrefix="0" xfId="0">
      <alignment horizontal="center" vertical="center" wrapText="1"/>
    </xf>
    <xf numFmtId="0" fontId="77" fillId="0" borderId="194" applyAlignment="1" pivotButton="0" quotePrefix="0" xfId="0">
      <alignment horizontal="center" vertical="center"/>
    </xf>
    <xf numFmtId="0" fontId="60" fillId="0" borderId="194" applyAlignment="1" pivotButton="0" quotePrefix="0" xfId="0">
      <alignment horizontal="center" vertical="center" wrapText="1"/>
    </xf>
    <xf numFmtId="0" fontId="69" fillId="0" borderId="194" applyAlignment="1" pivotButton="0" quotePrefix="0" xfId="0">
      <alignment horizontal="center" vertical="center" wrapText="1"/>
    </xf>
    <xf numFmtId="0" fontId="69" fillId="0" borderId="201" applyAlignment="1" pivotButton="0" quotePrefix="0" xfId="0">
      <alignment horizontal="center" vertical="center" wrapText="1"/>
    </xf>
    <xf numFmtId="0" fontId="60" fillId="0" borderId="200" applyAlignment="1" pivotButton="0" quotePrefix="0" xfId="0">
      <alignment horizontal="left" vertical="center" wrapText="1"/>
    </xf>
    <xf numFmtId="0" fontId="0" fillId="0" borderId="174" pivotButton="0" quotePrefix="0" xfId="0"/>
    <xf numFmtId="0" fontId="0" fillId="0" borderId="25" pivotButton="0" quotePrefix="0" xfId="0"/>
    <xf numFmtId="0" fontId="0" fillId="0" borderId="26" pivotButton="0" quotePrefix="0" xfId="0"/>
    <xf numFmtId="0" fontId="0" fillId="0" borderId="27" pivotButton="0" quotePrefix="0" xfId="0"/>
    <xf numFmtId="0" fontId="0" fillId="7" borderId="51" applyAlignment="1" pivotButton="0" quotePrefix="0" xfId="0">
      <alignment horizontal="center"/>
    </xf>
    <xf numFmtId="0" fontId="69" fillId="7" borderId="82" applyAlignment="1" pivotButton="0" quotePrefix="0" xfId="0">
      <alignment horizontal="left" vertical="center" wrapText="1"/>
    </xf>
    <xf numFmtId="0" fontId="69" fillId="7" borderId="84" applyAlignment="1" pivotButton="0" quotePrefix="0" xfId="0">
      <alignment horizontal="left" vertical="center" wrapText="1"/>
    </xf>
    <xf numFmtId="0" fontId="44" fillId="2" borderId="51" applyAlignment="1" pivotButton="0" quotePrefix="0" xfId="0">
      <alignment horizontal="left" vertical="top" wrapText="1"/>
    </xf>
    <xf numFmtId="0" fontId="27" fillId="5" borderId="133" applyAlignment="1" pivotButton="0" quotePrefix="0" xfId="0">
      <alignment horizontal="right" vertical="center" wrapText="1"/>
    </xf>
    <xf numFmtId="168" fontId="64" fillId="0" borderId="60" applyAlignment="1" applyProtection="1" pivotButton="0" quotePrefix="0" xfId="9">
      <alignment horizontal="right"/>
      <protection locked="0" hidden="0"/>
    </xf>
    <xf numFmtId="0" fontId="0" fillId="0" borderId="139" pivotButton="0" quotePrefix="0" xfId="0"/>
    <xf numFmtId="0" fontId="44" fillId="2" borderId="203" applyAlignment="1" pivotButton="0" quotePrefix="0" xfId="0">
      <alignment horizontal="center" vertical="top" wrapText="1"/>
    </xf>
    <xf numFmtId="0" fontId="0" fillId="0" borderId="135" pivotButton="0" quotePrefix="0" xfId="0"/>
    <xf numFmtId="0" fontId="72" fillId="5" borderId="205" applyAlignment="1" pivotButton="0" quotePrefix="0" xfId="0">
      <alignment horizontal="center" vertical="center" wrapText="1"/>
    </xf>
    <xf numFmtId="0" fontId="0" fillId="0" borderId="137" pivotButton="0" quotePrefix="0" xfId="0"/>
    <xf numFmtId="168" fontId="64" fillId="7" borderId="61" applyAlignment="1" pivotButton="0" quotePrefix="0" xfId="9">
      <alignment horizontal="right"/>
    </xf>
    <xf numFmtId="0" fontId="0" fillId="0" borderId="140" pivotButton="0" quotePrefix="0" xfId="0"/>
    <xf numFmtId="14" fontId="44" fillId="2" borderId="203" applyAlignment="1" pivotButton="0" quotePrefix="0" xfId="0">
      <alignment horizontal="center" vertical="top" wrapText="1"/>
    </xf>
    <xf numFmtId="168" fontId="64" fillId="7" borderId="62" applyAlignment="1" pivotButton="0" quotePrefix="0" xfId="9">
      <alignment horizontal="right"/>
    </xf>
    <xf numFmtId="168" fontId="64" fillId="7" borderId="63" applyAlignment="1" pivotButton="0" quotePrefix="0" xfId="9">
      <alignment horizontal="right"/>
    </xf>
    <xf numFmtId="166" fontId="44" fillId="2" borderId="203" applyAlignment="1" pivotButton="0" quotePrefix="0" xfId="0">
      <alignment horizontal="center" vertical="top" wrapText="1"/>
    </xf>
    <xf numFmtId="168" fontId="64" fillId="11" borderId="0" applyAlignment="1" pivotButton="0" quotePrefix="0" xfId="9">
      <alignment horizontal="right"/>
    </xf>
    <xf numFmtId="168" fontId="64" fillId="11" borderId="56" applyAlignment="1" pivotButton="0" quotePrefix="0" xfId="9">
      <alignment horizontal="right"/>
    </xf>
    <xf numFmtId="168" fontId="64" fillId="11" borderId="58" applyAlignment="1" pivotButton="0" quotePrefix="0" xfId="9">
      <alignment horizontal="right"/>
    </xf>
    <xf numFmtId="168" fontId="64" fillId="11" borderId="59" applyAlignment="1" pivotButton="0" quotePrefix="0" xfId="9">
      <alignment horizontal="right"/>
    </xf>
    <xf numFmtId="168" fontId="1" fillId="0" borderId="0" applyAlignment="1" pivotButton="0" quotePrefix="0" xfId="9">
      <alignment horizontal="right"/>
    </xf>
    <xf numFmtId="0" fontId="36" fillId="2" borderId="51" applyAlignment="1" pivotButton="0" quotePrefix="0" xfId="0">
      <alignment horizontal="left" vertical="top" wrapText="1"/>
    </xf>
    <xf numFmtId="0" fontId="0" fillId="0" borderId="207" pivotButton="0" quotePrefix="0" xfId="0"/>
    <xf numFmtId="0" fontId="0" fillId="0" borderId="8" applyProtection="1" pivotButton="0" quotePrefix="0" xfId="0">
      <protection locked="0" hidden="0"/>
    </xf>
    <xf numFmtId="165" fontId="24" fillId="0" borderId="70" applyAlignment="1" applyProtection="1" pivotButton="0" quotePrefix="0" xfId="0">
      <alignment horizontal="center" vertical="center"/>
      <protection locked="0" hidden="0"/>
    </xf>
    <xf numFmtId="165" fontId="15" fillId="2" borderId="0" applyAlignment="1" pivotButton="0" quotePrefix="0" xfId="0">
      <alignment horizontal="center" vertical="center"/>
    </xf>
    <xf numFmtId="165" fontId="24" fillId="7" borderId="80" applyAlignment="1" pivotButton="0" quotePrefix="0" xfId="1">
      <alignment horizontal="center" vertical="center"/>
    </xf>
    <xf numFmtId="0" fontId="0" fillId="0" borderId="18" applyProtection="1" pivotButton="0" quotePrefix="0" xfId="0">
      <protection locked="0" hidden="0"/>
    </xf>
    <xf numFmtId="165" fontId="24" fillId="0" borderId="175" applyAlignment="1" applyProtection="1" pivotButton="0" quotePrefix="0" xfId="0">
      <alignment horizontal="center" vertical="center"/>
      <protection locked="0" hidden="0"/>
    </xf>
    <xf numFmtId="165" fontId="24" fillId="7" borderId="81" applyAlignment="1" pivotButton="0" quotePrefix="0" xfId="1">
      <alignment horizontal="center" vertical="center"/>
    </xf>
    <xf numFmtId="165" fontId="24" fillId="0" borderId="68" applyAlignment="1" applyProtection="1" pivotButton="0" quotePrefix="0" xfId="0">
      <alignment horizontal="center" vertical="center"/>
      <protection locked="0" hidden="0"/>
    </xf>
    <xf numFmtId="165" fontId="24" fillId="7" borderId="82" applyAlignment="1" pivotButton="0" quotePrefix="0" xfId="1">
      <alignment horizontal="center" vertical="center"/>
    </xf>
    <xf numFmtId="0" fontId="0" fillId="0" borderId="12" applyProtection="1" pivotButton="0" quotePrefix="0" xfId="0">
      <protection locked="0" hidden="0"/>
    </xf>
    <xf numFmtId="165" fontId="24" fillId="0" borderId="72" applyAlignment="1" applyProtection="1" pivotButton="0" quotePrefix="0" xfId="0">
      <alignment horizontal="center" vertical="center"/>
      <protection locked="0" hidden="0"/>
    </xf>
    <xf numFmtId="165" fontId="24" fillId="7" borderId="83" applyAlignment="1" pivotButton="0" quotePrefix="0" xfId="1">
      <alignment horizontal="center" vertical="center"/>
    </xf>
    <xf numFmtId="0" fontId="0" fillId="0" borderId="10" applyProtection="1" pivotButton="0" quotePrefix="0" xfId="0">
      <protection locked="0" hidden="0"/>
    </xf>
    <xf numFmtId="0" fontId="0" fillId="0" borderId="179" applyProtection="1" pivotButton="0" quotePrefix="0" xfId="0">
      <protection locked="0" hidden="0"/>
    </xf>
    <xf numFmtId="165" fontId="24" fillId="0" borderId="176" applyAlignment="1" applyProtection="1" pivotButton="0" quotePrefix="0" xfId="0">
      <alignment horizontal="center" vertical="center"/>
      <protection locked="0" hidden="0"/>
    </xf>
    <xf numFmtId="165" fontId="24" fillId="7" borderId="84" applyAlignment="1" pivotButton="0" quotePrefix="0" xfId="1">
      <alignment horizontal="center" vertical="center"/>
    </xf>
    <xf numFmtId="0" fontId="15" fillId="0" borderId="213" applyAlignment="1" applyProtection="1" pivotButton="0" quotePrefix="0" xfId="0">
      <alignment vertical="center"/>
      <protection locked="0" hidden="0"/>
    </xf>
    <xf numFmtId="0" fontId="0" fillId="0" borderId="183" applyProtection="1" pivotButton="0" quotePrefix="0" xfId="0">
      <protection locked="0" hidden="0"/>
    </xf>
    <xf numFmtId="0" fontId="15" fillId="0" borderId="208" applyAlignment="1" applyProtection="1" pivotButton="0" quotePrefix="0" xfId="0">
      <alignment vertical="center"/>
      <protection locked="0" hidden="0"/>
    </xf>
    <xf numFmtId="0" fontId="0" fillId="0" borderId="181" applyProtection="1" pivotButton="0" quotePrefix="0" xfId="0">
      <protection locked="0" hidden="0"/>
    </xf>
    <xf numFmtId="165" fontId="24" fillId="0" borderId="177" applyAlignment="1" applyProtection="1" pivotButton="0" quotePrefix="0" xfId="0">
      <alignment horizontal="center" vertical="center"/>
      <protection locked="0" hidden="0"/>
    </xf>
    <xf numFmtId="0" fontId="0" fillId="0" borderId="212" pivotButton="0" quotePrefix="0" xfId="0"/>
    <xf numFmtId="165" fontId="25" fillId="7" borderId="78" applyAlignment="1" pivotButton="0" quotePrefix="0" xfId="1">
      <alignment horizontal="center" vertical="center"/>
    </xf>
    <xf numFmtId="165" fontId="25" fillId="7" borderId="51" applyAlignment="1" pivotButton="0" quotePrefix="0" xfId="1">
      <alignment horizontal="center" vertical="center"/>
    </xf>
    <xf numFmtId="165" fontId="1" fillId="2" borderId="0" pivotButton="0" quotePrefix="0" xfId="0"/>
    <xf numFmtId="165" fontId="15" fillId="2" borderId="0" pivotButton="0" quotePrefix="0" xfId="0"/>
    <xf numFmtId="0" fontId="0" fillId="0" borderId="86" pivotButton="0" quotePrefix="0" xfId="0"/>
    <xf numFmtId="165" fontId="17" fillId="5" borderId="88" applyAlignment="1" pivotButton="0" quotePrefix="0" xfId="0">
      <alignment horizontal="center" vertical="center" wrapText="1"/>
    </xf>
    <xf numFmtId="165" fontId="17" fillId="5" borderId="79" applyAlignment="1" pivotButton="0" quotePrefix="0" xfId="0">
      <alignment horizontal="center" vertical="center" wrapText="1"/>
    </xf>
    <xf numFmtId="0" fontId="0" fillId="0" borderId="19" applyProtection="1" pivotButton="0" quotePrefix="0" xfId="0">
      <protection locked="0" hidden="0"/>
    </xf>
    <xf numFmtId="165" fontId="24" fillId="0" borderId="90" applyAlignment="1" applyProtection="1" pivotButton="0" quotePrefix="0" xfId="0">
      <alignment horizontal="center" vertical="center"/>
      <protection locked="0" hidden="0"/>
    </xf>
    <xf numFmtId="165" fontId="24" fillId="7" borderId="101" applyAlignment="1" pivotButton="0" quotePrefix="0" xfId="1">
      <alignment horizontal="center" vertical="center"/>
    </xf>
    <xf numFmtId="165" fontId="24" fillId="7" borderId="99" applyAlignment="1" pivotButton="0" quotePrefix="0" xfId="1">
      <alignment horizontal="center" vertical="center"/>
    </xf>
    <xf numFmtId="0" fontId="15" fillId="0" borderId="7" applyAlignment="1" applyProtection="1" pivotButton="0" quotePrefix="0" xfId="0">
      <alignment vertical="center"/>
      <protection locked="0" hidden="0"/>
    </xf>
    <xf numFmtId="0" fontId="0" fillId="0" borderId="94" applyProtection="1" pivotButton="0" quotePrefix="0" xfId="0">
      <protection locked="0" hidden="0"/>
    </xf>
    <xf numFmtId="165" fontId="24" fillId="0" borderId="59" applyAlignment="1" applyProtection="1" pivotButton="0" quotePrefix="0" xfId="0">
      <alignment horizontal="center" vertical="center"/>
      <protection locked="0" hidden="0"/>
    </xf>
    <xf numFmtId="165" fontId="24" fillId="7" borderId="100" applyAlignment="1" pivotButton="0" quotePrefix="0" xfId="1">
      <alignment horizontal="center" vertical="center"/>
    </xf>
    <xf numFmtId="0" fontId="35" fillId="5" borderId="126" applyAlignment="1" pivotButton="0" quotePrefix="0" xfId="0">
      <alignment horizontal="right" vertical="center"/>
    </xf>
    <xf numFmtId="0" fontId="0" fillId="0" borderId="97" pivotButton="0" quotePrefix="0" xfId="0"/>
    <xf numFmtId="165" fontId="25" fillId="7" borderId="98" applyAlignment="1" pivotButton="0" quotePrefix="0" xfId="1">
      <alignment horizontal="center" vertical="center"/>
    </xf>
    <xf numFmtId="165" fontId="9" fillId="0" borderId="0" pivotButton="0" quotePrefix="0" xfId="1"/>
    <xf numFmtId="165" fontId="18" fillId="3" borderId="102" applyAlignment="1" pivotButton="0" quotePrefix="0" xfId="0">
      <alignment horizontal="center" vertical="center"/>
    </xf>
    <xf numFmtId="165" fontId="11" fillId="7" borderId="84" applyAlignment="1" pivotButton="0" quotePrefix="0" xfId="1">
      <alignment horizontal="center" vertical="center"/>
    </xf>
    <xf numFmtId="165" fontId="16" fillId="2" borderId="0" applyAlignment="1" pivotButton="0" quotePrefix="0" xfId="0">
      <alignment vertical="center"/>
    </xf>
    <xf numFmtId="0" fontId="19" fillId="5" borderId="133" applyAlignment="1" pivotButton="0" quotePrefix="0" xfId="0">
      <alignment horizontal="left" vertical="top"/>
    </xf>
    <xf numFmtId="0" fontId="25" fillId="0" borderId="51" applyAlignment="1" pivotButton="0" quotePrefix="0" xfId="0">
      <alignment horizontal="left" vertical="top"/>
    </xf>
    <xf numFmtId="0" fontId="15" fillId="2" borderId="84" applyAlignment="1" applyProtection="1" pivotButton="0" quotePrefix="0" xfId="0">
      <alignment horizontal="left" vertical="top" wrapText="1"/>
      <protection locked="0" hidden="0"/>
    </xf>
    <xf numFmtId="0" fontId="43" fillId="2" borderId="214" applyAlignment="1" pivotButton="0" quotePrefix="0" xfId="0">
      <alignment horizontal="left" vertical="top" wrapText="1"/>
    </xf>
    <xf numFmtId="0" fontId="0" fillId="0" borderId="43" pivotButton="0" quotePrefix="0" xfId="0"/>
    <xf numFmtId="0" fontId="0" fillId="0" borderId="44" pivotButton="0" quotePrefix="0" xfId="0"/>
    <xf numFmtId="0" fontId="0" fillId="0" borderId="45"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166" fontId="9" fillId="0" borderId="7" applyAlignment="1" applyProtection="1" pivotButton="0" quotePrefix="0" xfId="0">
      <alignment horizontal="center" vertical="center"/>
      <protection locked="0" hidden="0"/>
    </xf>
    <xf numFmtId="166" fontId="39" fillId="9" borderId="2" applyAlignment="1" pivotButton="0" quotePrefix="0" xfId="0">
      <alignment horizontal="center"/>
    </xf>
    <xf numFmtId="169" fontId="6" fillId="2" borderId="0" applyAlignment="1" pivotButton="0" quotePrefix="0" xfId="0">
      <alignment horizontal="center" vertical="center"/>
    </xf>
    <xf numFmtId="166" fontId="9" fillId="7" borderId="8" applyAlignment="1" pivotButton="0" quotePrefix="0" xfId="0">
      <alignment horizontal="center"/>
    </xf>
    <xf numFmtId="166" fontId="9" fillId="7" borderId="14" applyAlignment="1" pivotButton="0" quotePrefix="0" xfId="0">
      <alignment horizontal="center"/>
    </xf>
    <xf numFmtId="166" fontId="9" fillId="7" borderId="7" applyAlignment="1" pivotButton="0" quotePrefix="0" xfId="0">
      <alignment horizontal="center"/>
    </xf>
    <xf numFmtId="166" fontId="9" fillId="7" borderId="107" applyAlignment="1" pivotButton="0" quotePrefix="0" xfId="0">
      <alignment horizontal="center"/>
    </xf>
    <xf numFmtId="166" fontId="6" fillId="7" borderId="81" applyAlignment="1" pivotButton="0" quotePrefix="0" xfId="0">
      <alignment horizontal="center" vertical="center"/>
    </xf>
    <xf numFmtId="166" fontId="26" fillId="7" borderId="81" applyAlignment="1" pivotButton="0" quotePrefix="0" xfId="0">
      <alignment horizontal="center" vertical="center"/>
    </xf>
    <xf numFmtId="166" fontId="9" fillId="7" borderId="13" applyAlignment="1" pivotButton="0" quotePrefix="0" xfId="0">
      <alignment horizontal="center"/>
    </xf>
    <xf numFmtId="166" fontId="9" fillId="7" borderId="11" applyAlignment="1" pivotButton="0" quotePrefix="0" xfId="0">
      <alignment horizontal="center"/>
    </xf>
    <xf numFmtId="166" fontId="9" fillId="7" borderId="115" applyAlignment="1" pivotButton="0" quotePrefix="0" xfId="0">
      <alignment horizontal="center"/>
    </xf>
    <xf numFmtId="166" fontId="6" fillId="7" borderId="99" applyAlignment="1" pivotButton="0" quotePrefix="0" xfId="0">
      <alignment horizontal="center" vertical="center"/>
    </xf>
    <xf numFmtId="166" fontId="26" fillId="7" borderId="99" applyAlignment="1" pivotButton="0" quotePrefix="0" xfId="0">
      <alignment horizontal="center" vertical="center"/>
    </xf>
    <xf numFmtId="166" fontId="9" fillId="7" borderId="0" applyAlignment="1" pivotButton="0" quotePrefix="0" xfId="0">
      <alignment horizontal="center"/>
    </xf>
    <xf numFmtId="166" fontId="9" fillId="7" borderId="9" applyAlignment="1" pivotButton="0" quotePrefix="0" xfId="0">
      <alignment horizontal="center"/>
    </xf>
    <xf numFmtId="166" fontId="9" fillId="7" borderId="56" applyAlignment="1" pivotButton="0" quotePrefix="0" xfId="0">
      <alignment horizontal="center"/>
    </xf>
    <xf numFmtId="166" fontId="6" fillId="7" borderId="82" applyAlignment="1" pivotButton="0" quotePrefix="0" xfId="0">
      <alignment horizontal="center" vertical="center"/>
    </xf>
    <xf numFmtId="166" fontId="26" fillId="7" borderId="82" applyAlignment="1" pivotButton="0" quotePrefix="0" xfId="0">
      <alignment horizontal="center" vertical="center"/>
    </xf>
    <xf numFmtId="166" fontId="9" fillId="7" borderId="17" applyAlignment="1" pivotButton="0" quotePrefix="0" xfId="0">
      <alignment horizontal="center"/>
    </xf>
    <xf numFmtId="166" fontId="9" fillId="7" borderId="16" applyAlignment="1" pivotButton="0" quotePrefix="0" xfId="0">
      <alignment horizontal="center"/>
    </xf>
    <xf numFmtId="166" fontId="9" fillId="7" borderId="116" applyAlignment="1" pivotButton="0" quotePrefix="0" xfId="0">
      <alignment horizontal="center"/>
    </xf>
    <xf numFmtId="166" fontId="6" fillId="7" borderId="83" applyAlignment="1" pivotButton="0" quotePrefix="0" xfId="0">
      <alignment horizontal="center" vertical="center"/>
    </xf>
    <xf numFmtId="166" fontId="26" fillId="7" borderId="83" applyAlignment="1" pivotButton="0" quotePrefix="0" xfId="0">
      <alignment horizontal="center" vertical="center"/>
    </xf>
    <xf numFmtId="166" fontId="9" fillId="7" borderId="58" applyAlignment="1" pivotButton="0" quotePrefix="0" xfId="0">
      <alignment horizontal="center"/>
    </xf>
    <xf numFmtId="166" fontId="9" fillId="7" borderId="117" applyAlignment="1" pivotButton="0" quotePrefix="0" xfId="0">
      <alignment horizontal="center"/>
    </xf>
    <xf numFmtId="166" fontId="9" fillId="7" borderId="59" applyAlignment="1" pivotButton="0" quotePrefix="0" xfId="0">
      <alignment horizontal="center"/>
    </xf>
    <xf numFmtId="166" fontId="6" fillId="7" borderId="84" applyAlignment="1" pivotButton="0" quotePrefix="0" xfId="0">
      <alignment horizontal="center" vertical="center"/>
    </xf>
    <xf numFmtId="166" fontId="26" fillId="7" borderId="84" applyAlignment="1" pivotButton="0" quotePrefix="0" xfId="0">
      <alignment horizontal="center" vertical="center"/>
    </xf>
    <xf numFmtId="167" fontId="9" fillId="7" borderId="7" applyAlignment="1" pivotButton="0" quotePrefix="0" xfId="0">
      <alignment horizontal="center"/>
    </xf>
    <xf numFmtId="167" fontId="9" fillId="7" borderId="15" applyAlignment="1" pivotButton="0" quotePrefix="0" xfId="0">
      <alignment horizontal="center"/>
    </xf>
    <xf numFmtId="167" fontId="9" fillId="7" borderId="68" applyAlignment="1" pivotButton="0" quotePrefix="0" xfId="0">
      <alignment horizontal="center"/>
    </xf>
    <xf numFmtId="167" fontId="6" fillId="7" borderId="81" applyAlignment="1" pivotButton="0" quotePrefix="0" xfId="0">
      <alignment horizontal="center"/>
    </xf>
    <xf numFmtId="167" fontId="26" fillId="7" borderId="81" applyAlignment="1" pivotButton="0" quotePrefix="0" xfId="0">
      <alignment horizontal="center" vertical="center"/>
    </xf>
    <xf numFmtId="167" fontId="39" fillId="9" borderId="2" applyAlignment="1" pivotButton="0" quotePrefix="0" xfId="0">
      <alignment horizontal="center"/>
    </xf>
    <xf numFmtId="167" fontId="9" fillId="7" borderId="9" applyAlignment="1" pivotButton="0" quotePrefix="0" xfId="0">
      <alignment horizontal="center"/>
    </xf>
    <xf numFmtId="167" fontId="9" fillId="7" borderId="41" applyAlignment="1" pivotButton="0" quotePrefix="0" xfId="0">
      <alignment horizontal="center"/>
    </xf>
    <xf numFmtId="167" fontId="9" fillId="7" borderId="70" applyAlignment="1" pivotButton="0" quotePrefix="0" xfId="0">
      <alignment horizontal="center"/>
    </xf>
    <xf numFmtId="167" fontId="6" fillId="7" borderId="82" applyAlignment="1" pivotButton="0" quotePrefix="0" xfId="0">
      <alignment horizontal="center"/>
    </xf>
    <xf numFmtId="167" fontId="26" fillId="7" borderId="82" applyAlignment="1" pivotButton="0" quotePrefix="0" xfId="0">
      <alignment horizontal="center" vertical="center"/>
    </xf>
    <xf numFmtId="167" fontId="9" fillId="7" borderId="117" applyAlignment="1" pivotButton="0" quotePrefix="0" xfId="0">
      <alignment horizontal="center"/>
    </xf>
    <xf numFmtId="167" fontId="9" fillId="7" borderId="120" applyAlignment="1" pivotButton="0" quotePrefix="0" xfId="0">
      <alignment horizontal="center"/>
    </xf>
    <xf numFmtId="167" fontId="9" fillId="7" borderId="121" applyAlignment="1" pivotButton="0" quotePrefix="0" xfId="0">
      <alignment horizontal="center"/>
    </xf>
    <xf numFmtId="167" fontId="6" fillId="7" borderId="84" applyAlignment="1" pivotButton="0" quotePrefix="0" xfId="0">
      <alignment horizontal="center"/>
    </xf>
    <xf numFmtId="167" fontId="26" fillId="7" borderId="84" applyAlignment="1" pivotButton="0" quotePrefix="0" xfId="0">
      <alignment horizontal="center" vertical="center"/>
    </xf>
    <xf numFmtId="0" fontId="19" fillId="5" borderId="51" applyAlignment="1" pivotButton="0" quotePrefix="0" xfId="0">
      <alignment horizontal="left" vertical="center"/>
    </xf>
    <xf numFmtId="0" fontId="61" fillId="0" borderId="51" applyAlignment="1" pivotButton="0" quotePrefix="0" xfId="0">
      <alignment horizontal="left" vertical="center"/>
    </xf>
    <xf numFmtId="0" fontId="15" fillId="2" borderId="51" applyAlignment="1" applyProtection="1" pivotButton="0" quotePrefix="0" xfId="0">
      <alignment horizontal="center" vertical="top"/>
      <protection locked="0" hidden="0"/>
    </xf>
    <xf numFmtId="0" fontId="42" fillId="0" borderId="51" applyAlignment="1" pivotButton="0" quotePrefix="0" xfId="0">
      <alignment horizontal="left" vertical="center" wrapText="1"/>
    </xf>
    <xf numFmtId="0" fontId="0" fillId="0" borderId="5" pivotButton="0" quotePrefix="0" xfId="0"/>
    <xf numFmtId="0" fontId="60" fillId="0" borderId="4" applyAlignment="1" pivotButton="0" quotePrefix="0" xfId="0">
      <alignment horizontal="center" vertical="center" wrapText="1"/>
    </xf>
    <xf numFmtId="171" fontId="42" fillId="11" borderId="82" applyAlignment="1" pivotButton="0" quotePrefix="0" xfId="3">
      <alignment horizontal="left"/>
    </xf>
    <xf numFmtId="167" fontId="42" fillId="11" borderId="84" applyAlignment="1" pivotButton="0" quotePrefix="0" xfId="0">
      <alignment horizontal="left"/>
    </xf>
    <xf numFmtId="165" fontId="60" fillId="0" borderId="12" applyAlignment="1" applyProtection="1" pivotButton="0" quotePrefix="0" xfId="0">
      <alignment horizontal="center" vertical="center"/>
      <protection locked="0" hidden="0"/>
    </xf>
    <xf numFmtId="165" fontId="60" fillId="7" borderId="31" applyAlignment="1" pivotButton="0" quotePrefix="0" xfId="0">
      <alignment horizontal="center" vertical="center"/>
    </xf>
    <xf numFmtId="165" fontId="60" fillId="7" borderId="123" applyAlignment="1" pivotButton="0" quotePrefix="0" xfId="2">
      <alignment horizontal="center" vertical="center"/>
    </xf>
    <xf numFmtId="165" fontId="60" fillId="11" borderId="10" applyAlignment="1" applyProtection="1" pivotButton="0" quotePrefix="0" xfId="0">
      <alignment horizontal="center" vertical="center"/>
      <protection locked="0" hidden="0"/>
    </xf>
    <xf numFmtId="165" fontId="60" fillId="7" borderId="9" applyAlignment="1" pivotButton="0" quotePrefix="0" xfId="0">
      <alignment horizontal="center" vertical="center"/>
    </xf>
    <xf numFmtId="165" fontId="60" fillId="7" borderId="10" applyAlignment="1" pivotButton="0" quotePrefix="0" xfId="0">
      <alignment horizontal="center" vertical="center"/>
    </xf>
    <xf numFmtId="165" fontId="60" fillId="7" borderId="56" applyAlignment="1" pivotButton="0" quotePrefix="0" xfId="2">
      <alignment horizontal="center" vertical="center"/>
    </xf>
    <xf numFmtId="165" fontId="60" fillId="0" borderId="8" applyAlignment="1" applyProtection="1" pivotButton="0" quotePrefix="0" xfId="0">
      <alignment horizontal="center" vertical="center"/>
      <protection locked="0" hidden="0"/>
    </xf>
    <xf numFmtId="165" fontId="60" fillId="0" borderId="7" applyAlignment="1" applyProtection="1" pivotButton="0" quotePrefix="0" xfId="0">
      <alignment horizontal="center" vertical="center"/>
      <protection locked="0" hidden="0"/>
    </xf>
    <xf numFmtId="165" fontId="60" fillId="7" borderId="107" applyAlignment="1" pivotButton="0" quotePrefix="0" xfId="2">
      <alignment horizontal="center" vertical="center"/>
    </xf>
    <xf numFmtId="165" fontId="60" fillId="0" borderId="10" applyAlignment="1" applyProtection="1" pivotButton="0" quotePrefix="0" xfId="0">
      <alignment horizontal="center" vertical="center"/>
      <protection locked="0" hidden="0"/>
    </xf>
    <xf numFmtId="165" fontId="60" fillId="0" borderId="9" applyAlignment="1" applyProtection="1" pivotButton="0" quotePrefix="0" xfId="0">
      <alignment horizontal="center" vertical="center"/>
      <protection locked="0" hidden="0"/>
    </xf>
    <xf numFmtId="165" fontId="60" fillId="0" borderId="11" applyAlignment="1" applyProtection="1" pivotButton="0" quotePrefix="0" xfId="0">
      <alignment horizontal="center" vertical="center"/>
      <protection locked="0" hidden="0"/>
    </xf>
    <xf numFmtId="165" fontId="60" fillId="7" borderId="115" applyAlignment="1" pivotButton="0" quotePrefix="0" xfId="2">
      <alignment horizontal="center" vertical="center"/>
    </xf>
    <xf numFmtId="165" fontId="60" fillId="0" borderId="94" applyAlignment="1" applyProtection="1" pivotButton="0" quotePrefix="0" xfId="0">
      <alignment horizontal="center" vertical="center"/>
      <protection locked="0" hidden="0"/>
    </xf>
    <xf numFmtId="165" fontId="60" fillId="0" borderId="117" applyAlignment="1" applyProtection="1" pivotButton="0" quotePrefix="0" xfId="0">
      <alignment horizontal="center" vertical="center"/>
      <protection locked="0" hidden="0"/>
    </xf>
    <xf numFmtId="165" fontId="60" fillId="7" borderId="59" applyAlignment="1" pivotButton="0" quotePrefix="0" xfId="2">
      <alignment horizontal="center" vertical="center"/>
    </xf>
    <xf numFmtId="165" fontId="61" fillId="7" borderId="128" applyAlignment="1" pivotButton="0" quotePrefix="0" xfId="1">
      <alignment horizontal="center" vertical="center"/>
    </xf>
    <xf numFmtId="165" fontId="61" fillId="7" borderId="129" applyAlignment="1" pivotButton="0" quotePrefix="0" xfId="1">
      <alignment horizontal="center" vertical="center"/>
    </xf>
    <xf numFmtId="165" fontId="61" fillId="7" borderId="97" applyAlignment="1" pivotButton="0" quotePrefix="0" xfId="1">
      <alignment horizontal="center" vertical="center"/>
    </xf>
    <xf numFmtId="165" fontId="61" fillId="7" borderId="127" applyAlignment="1" pivotButton="0" quotePrefix="0" xfId="1">
      <alignment horizontal="center" vertical="center"/>
    </xf>
    <xf numFmtId="165" fontId="61" fillId="7" borderId="98" applyAlignment="1" pivotButton="0" quotePrefix="0" xfId="2">
      <alignment horizontal="center" vertical="center"/>
    </xf>
    <xf numFmtId="165" fontId="60" fillId="0" borderId="10" applyAlignment="1" applyProtection="1" pivotButton="0" quotePrefix="0" xfId="2">
      <alignment horizontal="center" vertical="center"/>
      <protection locked="0" hidden="0"/>
    </xf>
    <xf numFmtId="165" fontId="60" fillId="7" borderId="8" applyAlignment="1" pivotButton="0" quotePrefix="0" xfId="2">
      <alignment horizontal="center" vertical="center"/>
    </xf>
    <xf numFmtId="165" fontId="60" fillId="0" borderId="8" applyAlignment="1" applyProtection="1" pivotButton="0" quotePrefix="0" xfId="2">
      <alignment horizontal="center" vertical="center"/>
      <protection locked="0" hidden="0"/>
    </xf>
    <xf numFmtId="165" fontId="60" fillId="0" borderId="12" applyAlignment="1" applyProtection="1" pivotButton="0" quotePrefix="0" xfId="2">
      <alignment horizontal="center" vertical="center"/>
      <protection locked="0" hidden="0"/>
    </xf>
    <xf numFmtId="165" fontId="60" fillId="7" borderId="116" applyAlignment="1" pivotButton="0" quotePrefix="0" xfId="2">
      <alignment horizontal="center" vertical="center"/>
    </xf>
    <xf numFmtId="165" fontId="60" fillId="7" borderId="14" applyAlignment="1" pivotButton="0" quotePrefix="0" xfId="2">
      <alignment horizontal="center" vertical="center"/>
    </xf>
    <xf numFmtId="165" fontId="60" fillId="7" borderId="7" applyAlignment="1" pivotButton="0" quotePrefix="0" xfId="2">
      <alignment horizontal="center" vertical="center"/>
    </xf>
    <xf numFmtId="165" fontId="60" fillId="11" borderId="8" applyAlignment="1" applyProtection="1" pivotButton="0" quotePrefix="0" xfId="2">
      <alignment horizontal="center" vertical="center"/>
      <protection locked="0" hidden="0"/>
    </xf>
    <xf numFmtId="165" fontId="60" fillId="0" borderId="94" applyAlignment="1" applyProtection="1" pivotButton="0" quotePrefix="0" xfId="2">
      <alignment horizontal="center" vertical="center"/>
      <protection locked="0" hidden="0"/>
    </xf>
    <xf numFmtId="0" fontId="35" fillId="12" borderId="126" applyAlignment="1" pivotButton="0" quotePrefix="0" xfId="0">
      <alignment horizontal="right" vertical="center"/>
    </xf>
    <xf numFmtId="165" fontId="61" fillId="7" borderId="127" applyAlignment="1" pivotButton="0" quotePrefix="0" xfId="2">
      <alignment horizontal="center" vertical="center"/>
    </xf>
    <xf numFmtId="165" fontId="61" fillId="7" borderId="128" applyAlignment="1" pivotButton="0" quotePrefix="0" xfId="2">
      <alignment horizontal="center" vertical="center"/>
    </xf>
    <xf numFmtId="165" fontId="61" fillId="7" borderId="129" applyAlignment="1" pivotButton="0" quotePrefix="0" xfId="2">
      <alignment horizontal="center" vertical="center"/>
    </xf>
    <xf numFmtId="165" fontId="61" fillId="7" borderId="130" applyAlignment="1" pivotButton="0" quotePrefix="0" xfId="2">
      <alignment horizontal="center" vertical="center"/>
    </xf>
    <xf numFmtId="165" fontId="61" fillId="7" borderId="78" applyAlignment="1" pivotButton="0" quotePrefix="0" xfId="2">
      <alignment horizontal="center" vertical="center"/>
    </xf>
    <xf numFmtId="165" fontId="15" fillId="2" borderId="0" applyAlignment="1" pivotButton="0" quotePrefix="0" xfId="1">
      <alignment horizontal="center" vertical="center"/>
    </xf>
    <xf numFmtId="165" fontId="61" fillId="7" borderId="132" applyAlignment="1" pivotButton="0" quotePrefix="0" xfId="2">
      <alignment horizontal="center" vertical="center"/>
    </xf>
    <xf numFmtId="165" fontId="14" fillId="2" borderId="0" applyAlignment="1" pivotButton="0" quotePrefix="0" xfId="2">
      <alignment horizontal="center" vertical="center"/>
    </xf>
    <xf numFmtId="165" fontId="61" fillId="2" borderId="97" applyAlignment="1" applyProtection="1" pivotButton="0" quotePrefix="0" xfId="2">
      <alignment horizontal="center" vertical="center"/>
      <protection locked="0" hidden="0"/>
    </xf>
    <xf numFmtId="165" fontId="61" fillId="7" borderId="97" applyAlignment="1" pivotButton="0" quotePrefix="0" xfId="2">
      <alignment horizontal="center" vertical="center"/>
    </xf>
    <xf numFmtId="0" fontId="60" fillId="2" borderId="51" applyAlignment="1" applyProtection="1" pivotButton="0" quotePrefix="0" xfId="0">
      <alignment horizontal="left" vertical="top"/>
      <protection locked="0" hidden="0"/>
    </xf>
    <xf numFmtId="0" fontId="0" fillId="0" borderId="96" applyProtection="1" pivotButton="0" quotePrefix="0" xfId="0">
      <protection locked="0" hidden="0"/>
    </xf>
    <xf numFmtId="0" fontId="0" fillId="0" borderId="78" applyProtection="1" pivotButton="0" quotePrefix="0" xfId="0">
      <protection locked="0" hidden="0"/>
    </xf>
    <xf numFmtId="0" fontId="0" fillId="0" borderId="219" pivotButton="0" quotePrefix="0" xfId="0"/>
    <xf numFmtId="0" fontId="0" fillId="0" borderId="218" pivotButton="0" quotePrefix="0" xfId="0"/>
    <xf numFmtId="165" fontId="60" fillId="2" borderId="185" applyAlignment="1" applyProtection="1" pivotButton="0" quotePrefix="0" xfId="0">
      <alignment horizontal="center" vertical="center"/>
      <protection locked="0" hidden="0"/>
    </xf>
    <xf numFmtId="170" fontId="60" fillId="2" borderId="185" applyAlignment="1" pivotButton="0" quotePrefix="0" xfId="0">
      <alignment horizontal="center" vertical="center"/>
    </xf>
    <xf numFmtId="165" fontId="60" fillId="11" borderId="185" applyAlignment="1" pivotButton="0" quotePrefix="0" xfId="2">
      <alignment horizontal="center" vertical="center"/>
    </xf>
    <xf numFmtId="165" fontId="61" fillId="11" borderId="185" applyAlignment="1" pivotButton="0" quotePrefix="0" xfId="1">
      <alignment horizontal="center" vertical="center"/>
    </xf>
    <xf numFmtId="165" fontId="61" fillId="11" borderId="185" applyAlignment="1" pivotButton="0" quotePrefix="0" xfId="2">
      <alignment horizontal="center" vertical="center"/>
    </xf>
    <xf numFmtId="165" fontId="60" fillId="2" borderId="185" applyAlignment="1" applyProtection="1" pivotButton="0" quotePrefix="0" xfId="2">
      <alignment horizontal="center" vertical="center"/>
      <protection locked="0" hidden="0"/>
    </xf>
    <xf numFmtId="165" fontId="60" fillId="2" borderId="185" applyAlignment="1" pivotButton="0" quotePrefix="0" xfId="2">
      <alignment horizontal="center" vertical="center"/>
    </xf>
    <xf numFmtId="170" fontId="60" fillId="11" borderId="185" applyAlignment="1" pivotButton="0" quotePrefix="0" xfId="0">
      <alignment horizontal="center" vertical="center"/>
    </xf>
    <xf numFmtId="165" fontId="60" fillId="2" borderId="0" applyAlignment="1" applyProtection="1" pivotButton="0" quotePrefix="0" xfId="0">
      <alignment horizontal="center" vertical="center"/>
      <protection locked="0" hidden="0"/>
    </xf>
    <xf numFmtId="165" fontId="60" fillId="2" borderId="0" applyAlignment="1" applyProtection="1" pivotButton="0" quotePrefix="0" xfId="1">
      <alignment horizontal="center" vertical="center"/>
      <protection locked="0" hidden="0"/>
    </xf>
    <xf numFmtId="165" fontId="61" fillId="2" borderId="0" applyAlignment="1" applyProtection="1" pivotButton="0" quotePrefix="0" xfId="2">
      <alignment horizontal="center" vertical="center"/>
      <protection locked="0" hidden="0"/>
    </xf>
    <xf numFmtId="165" fontId="61" fillId="2" borderId="185" applyAlignment="1" applyProtection="1" pivotButton="0" quotePrefix="0" xfId="2">
      <alignment horizontal="center" vertical="center"/>
      <protection locked="0" hidden="0"/>
    </xf>
    <xf numFmtId="0" fontId="0" fillId="0" borderId="216" applyProtection="1" pivotButton="0" quotePrefix="0" xfId="0">
      <protection locked="0" hidden="0"/>
    </xf>
    <xf numFmtId="0" fontId="0" fillId="0" borderId="217" applyProtection="1" pivotButton="0" quotePrefix="0" xfId="0">
      <protection locked="0" hidden="0"/>
    </xf>
    <xf numFmtId="0" fontId="0" fillId="0" borderId="221" applyProtection="1" pivotButton="0" quotePrefix="0" xfId="0">
      <protection locked="0" hidden="0"/>
    </xf>
    <xf numFmtId="0" fontId="0" fillId="0" borderId="222" applyProtection="1" pivotButton="0" quotePrefix="0" xfId="0">
      <protection locked="0" hidden="0"/>
    </xf>
    <xf numFmtId="0" fontId="0" fillId="0" borderId="223" applyProtection="1" pivotButton="0" quotePrefix="0" xfId="0">
      <protection locked="0" hidden="0"/>
    </xf>
  </cellXfs>
  <cellStyles count="14">
    <cellStyle name="Normal" xfId="0" builtinId="0"/>
    <cellStyle name="Comma" xfId="1" builtinId="3"/>
    <cellStyle name="Currency" xfId="2" builtinId="4"/>
    <cellStyle name="Percent" xfId="3" builtinId="5"/>
    <cellStyle name="Normal 2" xfId="4"/>
    <cellStyle name="Title 2" xfId="5"/>
    <cellStyle name="Normal 3" xfId="6"/>
    <cellStyle name="Heading 1 2" xfId="7"/>
    <cellStyle name="Heading 2 2" xfId="8"/>
    <cellStyle name="Currency 2" xfId="9"/>
    <cellStyle name="Percent 2" xfId="10"/>
    <cellStyle name="Comma 2" xfId="11"/>
    <cellStyle name="Date" xfId="12"/>
    <cellStyle name="Heading 3 2" xfId="13"/>
  </cellStyles>
  <dxfs count="26">
    <dxf>
      <font>
        <color rgb="FFFF0000"/>
      </font>
    </dxf>
    <dxf>
      <font>
        <color rgb="FFFF0000"/>
      </font>
    </dxf>
    <dxf>
      <border>
        <left/>
        <right style="thin">
          <color indexed="20"/>
        </right>
        <top/>
        <bottom style="thin">
          <color indexed="20"/>
        </bottom>
      </border>
    </dxf>
    <dxf>
      <border>
        <left/>
        <right/>
        <top/>
        <bottom/>
      </border>
    </dxf>
    <dxf>
      <border>
        <left/>
        <right/>
        <top/>
        <bottom/>
        <vertical/>
        <horizontal/>
      </border>
    </dxf>
    <dxf>
      <border>
        <left/>
        <right/>
        <top/>
        <bottom/>
        <vertical/>
        <horizontal/>
      </border>
    </dxf>
    <dxf>
      <fill>
        <patternFill>
          <bgColor theme="0"/>
        </patternFill>
      </fill>
      <border>
        <left/>
        <right/>
        <bottom/>
        <vertical/>
        <horizontal/>
      </border>
    </dxf>
    <dxf>
      <border>
        <left/>
        <right/>
        <bottom/>
        <vertical/>
        <horizontal/>
      </border>
    </dxf>
    <dxf>
      <border>
        <left/>
        <right/>
        <bottom/>
        <vertical/>
        <horizontal/>
      </border>
    </dxf>
    <dxf>
      <font>
        <color theme="0"/>
      </font>
      <fill>
        <patternFill>
          <bgColor theme="0"/>
        </patternFill>
      </fill>
      <border>
        <left/>
        <right/>
        <bottom/>
        <vertical/>
        <horizontal/>
      </border>
    </dxf>
    <dxf>
      <fill>
        <patternFill>
          <bgColor theme="0"/>
        </patternFill>
      </fill>
      <border>
        <left/>
        <right/>
        <top/>
        <bottom/>
        <vertical/>
        <horizontal/>
      </border>
    </dxf>
    <dxf>
      <border>
        <left/>
        <right/>
        <top/>
        <bottom style="thin">
          <color indexed="20"/>
        </bottom>
      </border>
    </dxf>
    <dxf>
      <border>
        <left/>
        <right/>
        <top/>
        <bottom/>
      </border>
    </dxf>
    <dxf>
      <border>
        <left style="thin">
          <color indexed="20"/>
        </left>
        <right/>
        <top/>
        <bottom style="thin">
          <color indexed="20"/>
        </bottom>
      </border>
    </dxf>
    <dxf>
      <border>
        <left/>
        <right/>
        <top/>
        <bottom/>
      </border>
    </dxf>
    <dxf>
      <font>
        <name val="Arial"/>
        <family val="2"/>
        <strike val="0"/>
        <outline val="0"/>
        <shadow val="0"/>
        <vertAlign val="baseline"/>
      </font>
    </dxf>
    <dxf>
      <font>
        <name val="Arial"/>
        <family val="2"/>
        <strike val="0"/>
        <outline val="0"/>
        <shadow val="0"/>
        <vertAlign val="baseline"/>
      </font>
    </dxf>
    <dxf>
      <font>
        <name val="Arial"/>
        <family val="2"/>
        <strike val="0"/>
        <outline val="0"/>
        <shadow val="0"/>
        <vertAlign val="baseline"/>
      </font>
    </dxf>
    <dxf>
      <font>
        <name val="Arial"/>
        <family val="2"/>
        <strike val="0"/>
        <outline val="0"/>
        <shadow val="0"/>
        <vertAlign val="baseline"/>
      </font>
    </dxf>
    <dxf>
      <font>
        <name val="Arial"/>
        <family val="2"/>
        <strike val="0"/>
        <outline val="0"/>
        <shadow val="0"/>
        <vertAlign val="baseline"/>
      </font>
    </dxf>
    <dxf>
      <font>
        <name val="Arial"/>
        <family val="2"/>
        <strike val="0"/>
        <outline val="0"/>
        <shadow val="0"/>
        <vertAlign val="baseline"/>
      </font>
    </dxf>
    <dxf>
      <font>
        <name val="Arial"/>
        <family val="2"/>
        <strike val="0"/>
        <outline val="0"/>
        <shadow val="0"/>
        <vertAlign val="baseline"/>
      </font>
    </dxf>
    <dxf>
      <font>
        <name val="Arial"/>
        <family val="2"/>
        <strike val="0"/>
        <outline val="0"/>
        <shadow val="0"/>
        <vertAlign val="baseline"/>
      </font>
    </dxf>
    <dxf>
      <border outline="0">
        <bottom style="thin">
          <color indexed="20"/>
        </bottom>
      </border>
    </dxf>
    <dxf>
      <font>
        <name val="Arial"/>
        <family val="2"/>
        <strike val="0"/>
        <outline val="0"/>
        <shadow val="0"/>
        <condense val="0"/>
        <color auto="1"/>
        <extend val="0"/>
        <sz val="9"/>
        <vertAlign val="baseline"/>
      </font>
      <fill>
        <patternFill>
          <fgColor indexed="64"/>
          <bgColor indexed="65"/>
        </patternFill>
      </fill>
      <alignment horizontal="right" vertical="bottom"/>
    </dxf>
    <dxf>
      <font>
        <name val="Arial"/>
        <family val="2"/>
        <strike val="0"/>
        <outline val="0"/>
        <shadow val="0"/>
        <color theme="0"/>
        <sz val="11"/>
        <vertAlign val="baseline"/>
      </font>
      <fill>
        <patternFill patternType="solid">
          <fgColor indexed="64"/>
          <bgColor rgb="FF142855"/>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Ryan Flanagan</author>
  </authors>
  <commentList>
    <comment ref="B5" authorId="0" shapeId="0">
      <text>
        <t>Explanation:
Enter Loan values in cells E10, E12 and E13. Loan summary in cells E15 through E18 and Loan table are automatically updated</t>
      </text>
    </comment>
    <comment ref="G18" authorId="0" shapeId="0">
      <text>
        <t>Please select an option from the dropdown menu</t>
      </text>
    </comment>
  </commentList>
</comments>
</file>

<file path=xl/comments/comment2.xml><?xml version="1.0" encoding="utf-8"?>
<comments xmlns="http://schemas.openxmlformats.org/spreadsheetml/2006/main">
  <authors>
    <author>Jane Cormack</author>
  </authors>
  <commentList>
    <comment ref="B24" authorId="0" shapeId="0">
      <text>
        <t>Explanation:
This section is where you list all of the sources of personal income you earn in a month. Among other things, this could include your salary from an employer, your personal savings, your benefits payments or even returns from an investment.
The number of items you include will depend on your personal situation and if any of the items listed do not apply to you, simply enter the number zero in the relevant field.</t>
      </text>
    </comment>
    <comment ref="C24" authorId="0" shapeId="0">
      <text>
        <t>Explanation:
Add a brief description for any items to help your Business Adviser understand each source of income.</t>
      </text>
    </comment>
    <comment ref="G24" authorId="0" shapeId="0">
      <text>
        <t>Explanation:
This is auto-calculated for you by multiplying your anticipated monthly income by 12.</t>
      </text>
    </comment>
    <comment ref="B25" authorId="0" shapeId="0">
      <text>
        <t>Explanation:
Your net income is the amount of earnings you receive each month once any deductions, like pay roll taxes, retirement plan contributions have been removed.</t>
      </text>
    </comment>
    <comment ref="B26" authorId="0" shapeId="0">
      <text>
        <t>Explanation:
There are a range of benefits that you might receive that you can list here: housing benefits, child benefits, carers and disability benefits, benefits for families, low income and Jobseeker's Allowance. 
If you are currently receiving housing or council tax benefits, we suggest that you enter the full amount of rent and council tax payable in the Personal Expenses section below (excluding these benefits) because once your business starts trading, you may lose these benefits or have them reduced. 
Talk to your local Jobcentre if you're unsure what benefits you are registered for or want to understand what impact your business will have on these benefits.</t>
      </text>
    </comment>
    <comment ref="B27" authorId="0" shapeId="0">
      <text>
        <t>Explanation: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ref="B28" authorId="0" shapeId="0">
      <text>
        <t>Explanation: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ref="B29" authorId="0" shapeId="0">
      <text>
        <t>Explanation: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ref="B30" authorId="0" shapeId="0">
      <text>
        <t>Explanation: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ref="B31" authorId="0" shapeId="0">
      <text>
        <t>Explanation: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ref="B32" authorId="0" shapeId="0">
      <text>
        <t>Explanation:
Use this field if you have any other sources of income that are not covered in the above. 
For example, if you are currently drawing on your personal savings, how much do you take-out each month? 
Or you may currently earn a monthly income or return on a financial investment, like an investment property.</t>
      </text>
    </comment>
    <comment ref="B33" authorId="0" shapeId="0">
      <text>
        <t>Explanation:
Your total income is made up of all your individual sources of income added together.</t>
      </text>
    </comment>
    <comment ref="B35" authorId="0" shapeId="0">
      <text>
        <t>Explanation:
This section is where you list any of the expenses you personally incur in a typical month. Among other things, this could include your home rent or mortgage payments, personal loan repayments, council tax, utilities bills, childcare or school fees, personal savings or monthly grocery bill. 
Please note we are only interested in the money that you personally spend each month, so if you share the rent or utilities payments with your partner then you only need to list the amount that you pay - not the whole rent owed on the property.
Similarly, if you currently live with your parents and pay contributions towards their mortgage, you only need to list the amount you pay to them each month. The number of items you include will depend on your personal situation.</t>
      </text>
    </comment>
    <comment ref="C35" authorId="0" shapeId="0">
      <text>
        <t>Explanation:
Add a brief description for any items to help your Business Adviser understand each of the expenses you list.</t>
      </text>
    </comment>
    <comment ref="G35" authorId="0" shapeId="0">
      <text>
        <t>Explanation:
This is auto-calculated for you by multiplying your anticipated monthly expenses by 12.</t>
      </text>
    </comment>
    <comment ref="B49" authorId="0" shapeId="0">
      <text>
        <t>Explanation: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ref="B50" authorId="0" shapeId="0">
      <text>
        <t>Explanation: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ref="B51" authorId="0" shapeId="0">
      <text>
        <t>Explanation: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ref="B52" authorId="0" shapeId="0">
      <text>
        <t>Explanation: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ref="B53" authorId="0" shapeId="0">
      <text>
        <t>Explanation: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ref="B54" authorId="0" shapeId="0">
      <text>
        <t>Explanation: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ref="B55" authorId="0" shapeId="0">
      <text>
        <t>Explanation: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ref="B56" authorId="0" shapeId="0">
      <text>
        <t>Explanation:
Use this field if you have any other expenses that are not covered in the above. 
For example, you might have another personal loan, other than your Start Up Loan, that you are currently making repayments towards.
Or if you have children, think about any costs you incur on a monthly basis like school fees, childcare, extra curricular activities etc.
Please do not include your SUL repayment</t>
      </text>
    </comment>
    <comment ref="B57" authorId="0" shapeId="0">
      <text>
        <t>Explanation:
This total is all of your personal expenses added together.</t>
      </text>
    </comment>
    <comment ref="E59" authorId="0" shapeId="0">
      <text>
        <t xml:space="preserve">Explanation:
This is the remaining MONTHLY balance once you remove all your expenses from your total current income. 
If this figure is negative (in deficit), it means that your personal expenses are greater than your personal income each month and your business will need to bring in sufficient income to help you cover these costs. This figure will auto-populate the 'Your salary (if PSB is in deficit)' line in your Cash Flow Forecast on the next tab.
Conversely, if the figure is positive (in surplus), it means you are earning more income than you are generating costs, which means that any money you take from your business as a salary will be a bonus. This means the 'Your salary (if PSB is in deficit)' line in your Cash Flow Forecast on the next tab can stay at 'zero'. 
</t>
      </text>
    </comment>
    <comment ref="G59" authorId="0" shapeId="0">
      <text>
        <t xml:space="preserve">Explanation:
This is the remaining ANNUAL balance once you remove all your expenses  from your total current income. 
This annual figure will not be used in your Cash Flow Forecast but may be useful for your reference.
</t>
      </text>
    </comment>
    <comment ref="B63" authorId="0" shapeId="0">
      <text>
        <t>Explanation:
This is a good place to write any notes that you want your Business Adviser to take into account when reviewing your Personal Survival Budget.</t>
      </text>
    </comment>
  </commentList>
</comments>
</file>

<file path=xl/comments/comment3.xml><?xml version="1.0" encoding="utf-8"?>
<comments xmlns="http://schemas.openxmlformats.org/spreadsheetml/2006/main">
  <authors>
    <author>Jane Cormack</author>
  </authors>
  <commentList>
    <comment ref="B16" authorId="0" shapeId="0">
      <text>
        <t>Explanation
Your sales assumptions will run for 12-months from the start month you choose. This may be the month you expect to start your business or, if you have already started trading, the month you would like to receive the loan, if successful.
Click on the cell to reveal a drop down list.</t>
      </text>
    </comment>
    <comment ref="J20" authorId="0" shapeId="0">
      <text>
        <t>Explanation:
This is a worked example to show you what to input into each cell.</t>
      </text>
    </comment>
    <comment ref="B21" authorId="0" shapeId="0">
      <text>
        <t>Explanation:
List your revenue generating items in this row (whether it's a product or service). If you have more than four, consider grouping them together.</t>
      </text>
    </comment>
    <comment ref="B22" authorId="0" shapeId="0">
      <text>
        <t>Explanation:
Enter the amount that you sell this item for on a single unit basis.</t>
      </text>
    </comment>
    <comment ref="B23" authorId="0" shapeId="0">
      <text>
        <t>Explanation:
Enter the total cost you incur in producing this item on a single unit basis.</t>
      </text>
    </comment>
    <comment ref="B24" authorId="0" shapeId="0">
      <text>
        <t>Explanation:
Your Gross Margin shows the percentage of profit you make on the sale of each unit.
Your Gross Margin is calculated by subtracting your cost price from your sales price and dividing the total by the cost price. This is expressed as a  percentage; the higher the percentage, the more you are earning on every sale. 
These cells will auto-calculate for you.</t>
      </text>
    </comment>
    <comment ref="C29" authorId="0" shapeId="0">
      <text>
        <t>Explanation:
In these cells, enter the quantity of sales you expect to make for each item over the next 12-months. 
Think about when you expect to see sale peaks and troughs. Is your business affected by seasonality? If so, this should be reflected in your numbers.</t>
      </text>
    </comment>
    <comment ref="D29" authorId="0" shapeId="0">
      <text>
        <t>Explanation:
In these cells, enter the quantity of sales you expect to make for each item over the next 12-months. 
Think about when you expect to see sale peaks and troughs. Is your business affected by seasonality? If so, this should be reflected in your numbers.</t>
      </text>
    </comment>
    <comment ref="E29" authorId="0" shapeId="0">
      <text>
        <t>Explanation:
In these cells, enter the quantity of sales you expect to make for each item over the next 12-months. 
Think about when you expect to see sale peaks and troughs. Is your business affected by seasonality? If so, this should be reflected in your numbers.</t>
      </text>
    </comment>
    <comment ref="F29" authorId="0" shapeId="0">
      <text>
        <t>Explanation:
In these cells, enter the quantity of sales you expect to make for each item over the next 12-months. 
Think about when you expect to see sale peaks and troughs. Is your business affected by seasonality? If so, this should be reflected in your numbers.</t>
      </text>
    </comment>
    <comment ref="G29" authorId="0" shapeId="0">
      <text>
        <t xml:space="preserve">Explanation:
This will auto-calculate based  on the numbers you have entered for each item. </t>
      </text>
    </comment>
    <comment ref="H29" authorId="0" shapeId="0">
      <text>
        <t>Explanation:
This is based on an average of 30 days per month, and is calculated by dividing your total sales volumes by 30.</t>
      </text>
    </comment>
    <comment ref="B30" authorId="0" shapeId="0">
      <text>
        <t>Explanation:
Month 1 will be the starting month that you selected above in Cell D11.</t>
      </text>
    </comment>
    <comment ref="G47" authorId="0" shapeId="0">
      <text>
        <t>Explanation:
These totals will automatically pull across into your Cash Flow Forecast.</t>
      </text>
    </comment>
    <comment ref="H47" authorId="0" shapeId="0">
      <text>
        <t>Explanation:
This is based on an average of 30 days per month, and is calculated by dividing your total sales values by 30.</t>
      </text>
    </comment>
    <comment ref="B48" authorId="0" shapeId="0">
      <text>
        <t>Explanation:
Month 1 will be the starting month that you selected above in Cell D11.</t>
      </text>
    </comment>
    <comment ref="G64" authorId="0" shapeId="0">
      <text>
        <t>Explanation:
These totals will automatically pull across into your Cash Flow Forecast.</t>
      </text>
    </comment>
    <comment ref="H64" authorId="0" shapeId="0">
      <text>
        <t>Explanation:
This is based on an average of 30 days per month, and is calculated by dividing your total cost of sales by 30.</t>
      </text>
    </comment>
    <comment ref="B65" authorId="0" shapeId="0">
      <text>
        <t>Explanation:
Month 1 will be the starting month that you selected above in Cell D11.</t>
      </text>
    </comment>
    <comment ref="B81" authorId="0" shapeId="0">
      <text>
        <t>Explanation:
This is a good place to write any notes that you want your Business Adviser to take into account when reviewing your Sales Assumptions
This might be if something needs further explanation or if you want to more clearly reference a figure back to something in your Business Plan.</t>
      </text>
    </comment>
  </commentList>
</comments>
</file>

<file path=xl/comments/comment4.xml><?xml version="1.0" encoding="utf-8"?>
<comments xmlns="http://schemas.openxmlformats.org/spreadsheetml/2006/main">
  <authors>
    <author>Jane Cormack</author>
    <author>Shivain Mehta</author>
  </authors>
  <commentList>
    <comment ref="B23" authorId="0" shapeId="0">
      <text>
        <t>Explanation:
Your forecast will run for 12-months from the start month you choose. This may be the month you expect to start your business or, if you have already started trading, the month you would like to receive the loan, if successful.
Click on the cell to reveal a drop down list.</t>
      </text>
    </comment>
    <comment ref="B25" authorId="0" shapeId="0">
      <text>
        <t>Explanation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t>
      </text>
    </comment>
    <comment ref="C25" authorId="0" shapeId="0">
      <text>
        <t>Explanation:
Add a brief description for any items to help your Business Adviser understand each cash in-flow.</t>
      </text>
    </comment>
    <comment ref="D25" authorId="0" shapeId="0">
      <text>
        <t>Explanation:
Enter any money that you have prior to starting your 12-month forecast in this column. Leave it blank if this does not apply to some/any of your items.</t>
      </text>
    </comment>
    <comment ref="Q25" authorId="0" shapeId="0">
      <text>
        <t>Explanation:
This column will give you the 12-month total for each of your cash in-flows.</t>
      </text>
    </comment>
    <comment ref="B26" authorId="0" shapeId="0">
      <text>
        <t>Explanation:
This is value of the sales you anticipate making in the next 12-months.
This row will auto-populate based on the figures you entered in the 'Sales Assumption' tab so there is no need to update these cells.</t>
      </text>
    </comment>
    <comment ref="E26" authorId="0" shapeId="0">
      <text>
        <t>Explanation:
This row will auto-populate based on the figures you entered in the 'Sales Assumption' tab so there is no need to update these cells.</t>
      </text>
    </comment>
    <comment ref="H26" authorId="0" shapeId="0">
      <text>
        <t>Explanation:
This row will auto-populate based on the figures you entered in the 'Sales Assumption' tab so there is no need to update these cells.</t>
      </text>
    </comment>
    <comment ref="I26" authorId="0" shapeId="0">
      <text>
        <t>Explanation:
This row will auto-populate based on the figures you entered in the 'Sales Assumption' tab so there is no need to update these cells.</t>
      </text>
    </comment>
    <comment ref="J26" authorId="0" shapeId="0">
      <text>
        <t>Explanation:
This row will auto-populate based on the figures you entered in the 'Sales Assumption' tab so there is no need to update these cells.</t>
      </text>
    </comment>
    <comment ref="K26" authorId="0" shapeId="0">
      <text>
        <t>Explanation:
This row will auto-populate based on the figures you entered in the 'Sales Assumption' tab so there is no need to update these cells.</t>
      </text>
    </comment>
    <comment ref="L26" authorId="0" shapeId="0">
      <text>
        <t>Explanation:
This row will auto-populate based on the figures you entered in the 'Sales Assumption' tab so there is no need to update these cells.</t>
      </text>
    </comment>
    <comment ref="M26" authorId="0" shapeId="0">
      <text>
        <t>Explanation:
This row will auto-populate based on the figures you entered in the 'Sales Assumption' tab so there is no need to update these cells.</t>
      </text>
    </comment>
    <comment ref="N26" authorId="0" shapeId="0">
      <text>
        <t>Explanation:
This row will auto-populate based on the figures you entered in the 'Sales Assumption' tab so there is no need to update these cells.</t>
      </text>
    </comment>
    <comment ref="O26" authorId="0" shapeId="0">
      <text>
        <t>Explanation:
This row will auto-populate based on the figures you entered in the 'Sales Assumption' tab so there is no need to update these cells.</t>
      </text>
    </comment>
    <comment ref="P26" authorId="0" shapeId="0">
      <text>
        <t>Explanation:
This row will auto-populate based on the figures you entered in the 'Sales Assumption' tab so there is no need to update these cells.</t>
      </text>
    </comment>
    <comment ref="B28" authorId="0" shapeId="0">
      <text>
        <t>Explanation:
This might be money that you have personally put into the business or money that your business partners, private investors or other individuals have contributed. This could also be money that you have been gifted or inherited.</t>
      </text>
    </comment>
    <comment ref="B29" authorId="0" shapeId="0">
      <text>
        <t>Explanation: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t>
      </text>
    </comment>
    <comment ref="B30" authorId="0" shapeId="0">
      <text>
        <t>Explanation:
Use these fields if your business has any other income or cash in-flows that are not covered in the above. 
Provide a description of these items in the next field.</t>
      </text>
    </comment>
    <comment ref="B31" authorId="0" shapeId="0">
      <text>
        <t>Explanation:
Use these fields if your business has any other income or cash in-flows that are not covered in the above. 
Provide a description of these items in the next field.</t>
      </text>
    </comment>
    <comment ref="B32" authorId="0" shapeId="0">
      <text>
        <t>Explanation:
Use these fields if your business has any other income or cash in-flows that are not covered in the above. 
Provide a description of these items in the next field.</t>
      </text>
    </comment>
    <comment ref="B33" authorId="0" shapeId="0">
      <text>
        <t>Explanation:
Use these fields if your business has any other income or cash in-flows that are not covered in the above. 
Provide a description of these items in the next field.</t>
      </text>
    </comment>
    <comment ref="B34" authorId="0" shapeId="0">
      <text>
        <t>Explanation:
Use these fields if your business has any other income or cash in-flows that are not covered in the above. 
Provide a description of these items in the next field.</t>
      </text>
    </comment>
    <comment ref="B35" authorId="0" shapeId="0">
      <text>
        <t>Explanation:
Use these fields if your business has any other income or cash in-flows that are not covered in the above. 
Provide a description of these items in the next field.</t>
      </text>
    </comment>
    <comment ref="B36" authorId="0" shapeId="0">
      <text>
        <t>Explanation:
Use these fields if your business has any other income or cash in-flows that are not covered in the above. 
Provide a description of these items in the next field.</t>
      </text>
    </comment>
    <comment ref="B37" authorId="0" shapeId="0">
      <text>
        <t>Explanation:
Your total cash in-flow is made up of all your individual sources of revenue added together.</t>
      </text>
    </comment>
    <comment ref="B41" authorId="0" shapeId="0">
      <text>
        <t>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t>
      </text>
    </comment>
    <comment ref="C41" authorId="0" shapeId="0">
      <text>
        <t>Explanation:
Add a brief description for any items to help your Business Adviser understand each cash out-flow.</t>
      </text>
    </comment>
    <comment ref="D41" authorId="0" shapeId="0">
      <text>
        <t>Explanation:
Enter any expenses that you have prior to starting your 12-month forecast in this column. Leave it blank if this does not apply to some/any of your items.</t>
      </text>
    </comment>
    <comment ref="Q41" authorId="0" shapeId="0">
      <text>
        <t>Explanation:
This column will give you the 12-month total for each of your cash out-flows.</t>
      </text>
    </comment>
    <comment ref="B42" authorId="0" shapeId="0">
      <text>
        <t>Explanation:
This is costs you expect to incur in order to produce all of your anticipated sales for the next 12-months. 
This row will auto-populate based on the figures you entered in the 'Sales Assumption' tab so there is no need to update these cells.</t>
      </text>
    </comment>
    <comment ref="E42" authorId="0" shapeId="0">
      <text>
        <t>Explanation:
This row will auto-populate based on the figures you entered in the 'Sales Assumption' tab so there is no need to update these cells.</t>
      </text>
    </comment>
    <comment ref="F42" authorId="1" shapeId="0">
      <text>
        <t xml:space="preserve">Explanation:
This row will auto-populate based on the figures you entered in the 'Sales Assumption' tab so there is no need to update these cells.
</t>
      </text>
    </comment>
    <comment ref="G42" authorId="1" shapeId="0">
      <text>
        <t xml:space="preserve">Explanation:
This row will auto-populate based on the figures you entered in the 'Sales Assumption' tab so there is no need to update these cells.
</t>
      </text>
    </comment>
    <comment ref="H42" authorId="0" shapeId="0">
      <text>
        <t>Explanation:
This row will auto-populate based on the figures you entered in the 'Sales Assumption' tab so there is no need to update these cells.</t>
      </text>
    </comment>
    <comment ref="I42" authorId="0" shapeId="0">
      <text>
        <t>Explanation:
This row will auto-populate based on the figures you entered in the 'Sales Assumption' tab so there is no need to update these cells.</t>
      </text>
    </comment>
    <comment ref="J42" authorId="0" shapeId="0">
      <text>
        <t>Explanation:
This row will auto-populate based on the figures you entered in the 'Sales Assumption' tab so there is no need to update these cells.</t>
      </text>
    </comment>
    <comment ref="K42" authorId="0" shapeId="0">
      <text>
        <t>Explanation:
This row will auto-populate based on the figures you entered in the 'Sales Assumption' tab so there is no need to update these cells.</t>
      </text>
    </comment>
    <comment ref="L42" authorId="0" shapeId="0">
      <text>
        <t>Explanation:
This row will auto-populate based on the figures you entered in the 'Sales Assumption' tab so there is no need to update these cells.</t>
      </text>
    </comment>
    <comment ref="M42" authorId="0" shapeId="0">
      <text>
        <t>Explanation:
This row will auto-populate based on the figures you entered in the 'Sales Assumption' tab so there is no need to update these cells.</t>
      </text>
    </comment>
    <comment ref="N42" authorId="0" shapeId="0">
      <text>
        <t>Explanation:
This row will auto-populate based on the figures you entered in the 'Sales Assumption' tab so there is no need to update these cells.</t>
      </text>
    </comment>
    <comment ref="O42" authorId="0" shapeId="0">
      <text>
        <t>Explanation:
This row will auto-populate based on the figures you entered in the 'Sales Assumption' tab so there is no need to update these cells.</t>
      </text>
    </comment>
    <comment ref="P42" authorId="0" shapeId="0">
      <text>
        <t>Explanation:
This row will auto-populate based on the figures you entered in the 'Sales Assumption' tab so there is no need to update these cells.</t>
      </text>
    </comment>
    <comment ref="B43" authorId="0" shapeId="0">
      <text>
        <t xml:space="preserve">Explanation: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
      </text>
    </comment>
    <comment ref="D43" authorId="0" shapeId="0">
      <text>
        <t>Explanation:
This is automatically populated based on the total amount of existing assets you declared above in order to balance your books.</t>
      </text>
    </comment>
    <comment ref="B44" authorId="0" shapeId="0">
      <text>
        <t>Explanation:
You may be leasing your own venue, paying a membership fee to a hotdesking work hub, or working in a retail space. What cost do you incur to do this each month?</t>
      </text>
    </comment>
    <comment ref="B45" authorId="0" shapeId="0">
      <text>
        <t>Explanation:
If you have a business premises or work from a home office, then it is likely that you are or will in future have to pay business rates to your local council.
Check with your Local Authority if you're not sure.</t>
      </text>
    </comment>
    <comment ref="B46" authorId="0" shapeId="0">
      <text>
        <t>Explanation:
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t>
      </text>
    </comment>
    <comment ref="B47" authorId="0" shapeId="0">
      <text>
        <t>Explanation:
If you haven't already, it is important to consider business insurance to cover you for any range of circumstances that may emerge that are out of your control.
This could be anything from premises, stock or equipment insurance to personal or employee liability insurance.</t>
      </text>
    </comment>
    <comment ref="B48" authorId="0" shapeId="0">
      <text>
        <t>Explanation:
Telephone and internet access is likely to be essential for almost every business type. 
Think about all the costs you currently incur or will incur in the next 12-months for this line item across your business, including the cost for each individual staff member if relevant.</t>
      </text>
    </comment>
    <comment ref="B49" authorId="0" shapeId="0">
      <text>
        <t xml:space="preserve">Explanation:
Think about what you have detailed in your business plan. What are the regular marketing and advertising costs that you incur to promote your business and drive sales? </t>
      </text>
    </comment>
    <comment ref="B50" authorId="0" shapeId="0">
      <text>
        <t>Explanation:
If you use a vehicle to operate your business, how much do you spend each month on fuel, insurance, registration, repairs?</t>
      </text>
    </comment>
    <comment ref="B51" authorId="0" shapeId="0">
      <text>
        <t>Explanation:
This is the cost of purchasing or leasing equipment to produce your product(s) and/or service(s), or the use of software to support you in delivering your product(s) and/or service(s).</t>
      </text>
    </comment>
    <comment ref="B52" authorId="0" shapeId="0">
      <text>
        <t>Explanation:
Every business incurs administrative costs, whether it is postage stamps to send out your product(s) and/or service(s), stationery products for you and your team, or printing facilities.</t>
      </text>
    </comment>
    <comment ref="B53" authorId="0" shapeId="0">
      <text>
        <t>Explanation:
If you run a product based business then you may incur monthly fees for transport and delivery of your goods.</t>
      </text>
    </comment>
    <comment ref="B54" authorId="0" shapeId="0">
      <text>
        <t>Explanation:
Think about any professional services you need to use in order to manage your business. This might be on a retainer or ad-hoc basis.
For example, a lawyer, accountant, designer or marketing consultant.</t>
      </text>
    </comment>
    <comment ref="B55" authorId="0" shapeId="0">
      <text>
        <t xml:space="preserve">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PSB yet, then this will remain blank until you do.
</t>
      </text>
    </comment>
    <comment ref="E55" authorId="0" shapeId="0">
      <text>
        <t>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t>
      </text>
    </comment>
    <comment ref="B56" authorId="0" shapeId="0">
      <text>
        <t>Explanation:
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t>
      </text>
    </comment>
    <comment ref="B57" authorId="0" shapeId="0">
      <text>
        <t>Explanation:
If you hire staff, whether full time or part time, then this is where you can reflect the amount of money you spend each month on staff salaries, national insurance contributions and staff pensions etc.</t>
      </text>
    </comment>
    <comment ref="B58" authorId="0" shapeId="0">
      <text>
        <t xml:space="preserve">Explanation:
This should be the monthly amount you pay for your Start Up Loan.
</t>
      </text>
    </comment>
    <comment ref="B60" authorId="0" shapeId="0">
      <text>
        <t>Explanation:
Use these fields if your business has any other expenses or cash out-flows that are not covered in the above. 
Provide a description of these items in the next field.</t>
      </text>
    </comment>
    <comment ref="B61" authorId="0" shapeId="0">
      <text>
        <t>Explanation:
Use these fields if your business has any other expenses or cash out-flows that are not covered in the above. 
Provide a description of these items in the next field.</t>
      </text>
    </comment>
    <comment ref="B62" authorId="0" shapeId="0">
      <text>
        <t>Explanation:
Use these fields if your business has any other expenses or cash out-flows that are not covered in the above. 
Provide a description of these items in the next field.</t>
      </text>
    </comment>
    <comment ref="B63" authorId="0" shapeId="0">
      <text>
        <t>Explanation:
Use these fields if your business has any other expenses or cash out-flows that are not covered in the above. 
Provide a description of these items in the next field.</t>
      </text>
    </comment>
    <comment ref="B64" authorId="0" shapeId="0">
      <text>
        <t>Explanation:
Use these fields if your business has any other expenses or cash out-flows that are not covered in the above. 
Provide a description of these items in the next field.</t>
      </text>
    </comment>
    <comment ref="B65" authorId="0" shapeId="0">
      <text>
        <t>Explanation:
Your total cash out-flow is made up of all your expenses added together.</t>
      </text>
    </comment>
    <comment ref="C67" authorId="0" shapeId="0">
      <text>
        <t xml:space="preserve">Explanation:
Your net cash flow tells you the difference between what is coming in and what is going out of your business on a monthly basis.
</t>
      </text>
    </comment>
    <comment ref="C69" authorId="0" shapeId="0">
      <text>
        <t xml:space="preserve">Explanation:
This is the amount of money that you have available for your business at the start of each month. You'll see this number will auto-update for each month, based on the previous months' cash flow. 
</t>
      </text>
    </comment>
    <comment ref="C71" authorId="0" shapeId="0">
      <text>
        <t xml:space="preserve">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text>
    </comment>
    <comment ref="C78" authorId="0" shapeId="0">
      <text>
        <t>Explanation:
This is a good place to write any notes that you want your Business Adviser to take into account when reviewing your Cash Flow Forecast.
This might be if something needs further explanation or if you want to more clearly reference a figure back to something in your Business Plan.</t>
      </text>
    </comment>
  </commentList>
</comments>
</file>

<file path=xl/comments/comment5.xml><?xml version="1.0" encoding="utf-8"?>
<comments xmlns="http://schemas.openxmlformats.org/spreadsheetml/2006/main">
  <authors>
    <author>Jane Cormack</author>
  </authors>
  <commentList>
    <comment ref="B10" authorId="0" shapeId="0">
      <text>
        <t>Explanation
This tab should be based on the month looking 6 months back - e.g. so if today was June 2018, your starting month would be January 2018. The cash flow should break down your month to month income over the past 6 months.
Click on the cell to reveal a drop down list.</t>
      </text>
    </comment>
    <comment ref="B12" authorId="0" shapeId="0">
      <text>
        <t>Explanation:
This is where you list any money that has come in to your business in the last six-months, such as product or service sales, equity or other investments or other forms of debt finance, like a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t>
      </text>
    </comment>
    <comment ref="C12" authorId="0" shapeId="0">
      <text>
        <t>Explanation:
Add a brief description for any items to help your Business Adviser understand each cash in-flow.</t>
      </text>
    </comment>
    <comment ref="D12" authorId="0" shapeId="0">
      <text>
        <t>Explanation:
Enter any money that you had at the start of this six-month period. Leave it blank if this does not apply to some/any of your items.</t>
      </text>
    </comment>
    <comment ref="K12" authorId="0" shapeId="0">
      <text>
        <t>Explanation:
This column will give you the six-month total for each of your cash in-flows.</t>
      </text>
    </comment>
    <comment ref="B13" authorId="0" shapeId="0">
      <text>
        <t>Explanation:
Enter in the value of the sales you received each month for last six-months. 
If it's easier, you may wish to break this down into different sources of revenue using the blank fields below. If this is the case, provide a clear description of what you have included in each so it is clear to your Business Adviser.</t>
      </text>
    </comment>
    <comment ref="B14" authorId="0" shapeId="0">
      <text>
        <t>Explanation:
This might be money that you have personally put into the business or money that your business partners, private investors or other individuals have contributed. This could also be money that you have been gifted or inherited.</t>
      </text>
    </comment>
    <comment ref="B15" authorId="0" shapeId="0">
      <text>
        <t>Explanation:
Use this row for any debt based form of finance you have received, like a loan or credit facility. Please note, there should be evidence of this finance appearing in your business bank accounts.</t>
      </text>
    </comment>
    <comment ref="B16" authorId="0" shapeId="0">
      <text>
        <t>Explanation:
Use these fields if your business has had any other income or cash in-flows in the last 6 months that are not covered in the above. 
Provide a description of these items in the next field.</t>
      </text>
    </comment>
    <comment ref="B17" authorId="0" shapeId="0">
      <text>
        <t>Explanation:
Use these fields if your business has had any other income or cash in-flows in the last 6 months that are not covered in the above. 
Provide a description of these items in the next field.</t>
      </text>
    </comment>
    <comment ref="B18" authorId="0" shapeId="0">
      <text>
        <t>Explanation:
Use these fields if your business has had any other income or cash in-flows in the last 6 months that are not covered in the above. 
Provide a description of these items in the next field.</t>
      </text>
    </comment>
    <comment ref="B19" authorId="0" shapeId="0">
      <text>
        <t>Explanation:
Your total cash in-flow is made up of all your individual sources of income added together.</t>
      </text>
    </comment>
    <comment ref="B22" authorId="0" shapeId="0">
      <text>
        <t>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t>
      </text>
    </comment>
    <comment ref="C22" authorId="0" shapeId="0">
      <text>
        <t>Explanation:
Add a brief description for any items to help your Business Adviser understand each cash out-flow.</t>
      </text>
    </comment>
    <comment ref="D22" authorId="0" shapeId="0">
      <text>
        <t>Explanation:
Enter any expenses that you had at the start of this six-month period. Leave it blank if this does not apply to some/any of your items.</t>
      </text>
    </comment>
    <comment ref="K22" authorId="0" shapeId="0">
      <text>
        <t>Explanation:
This column will give you the six-month total for each of your cash out-flows.</t>
      </text>
    </comment>
    <comment ref="B23" authorId="0" shapeId="0">
      <text>
        <t xml:space="preserve">Explanation:
This is the costs you incurred to produce all of your sales over the last six-months. </t>
      </text>
    </comment>
    <comment ref="B24" authorId="0" shapeId="0">
      <text>
        <t>Explanation:
You may be leasing your own venue, paying a membership fee to a hotdesking work hub, or working in a retail space. What costs did you incur to do this for each of the last six-months?</t>
      </text>
    </comment>
    <comment ref="B25" authorId="0" shapeId="0">
      <text>
        <t>Explanation:
If you have a business premises or work from a home office, then it is likely that you will have been paying business rates to your local council.</t>
      </text>
    </comment>
    <comment ref="B26" authorId="0" shapeId="0">
      <text>
        <t xml:space="preserve">Explanation:
You can group all of your utilities together into one monthly line item. This might include things like your gas, electricity or water payments you made for your business in the last six-months.
</t>
      </text>
    </comment>
    <comment ref="B27" authorId="0" shapeId="0">
      <text>
        <t>Explanation:
Did you pay insurance for any aspect of your business in the last six-months? This could be anything from premises, stock or equipment insurance to personal or employee liability insurance.</t>
      </text>
    </comment>
    <comment ref="B28" authorId="0" shapeId="0">
      <text>
        <t>Explanation:
Think about any costs you incurred for this line item across your business, including the cost for each individual staff member if relevant.</t>
      </text>
    </comment>
    <comment ref="B29" authorId="0" shapeId="0">
      <text>
        <t xml:space="preserve">Explanation:
Think about what money you used to promote your business and drive sales in the last six-months. </t>
      </text>
    </comment>
    <comment ref="B30" authorId="0" shapeId="0">
      <text>
        <t>Explanation:
If you use a vehicle to operate your business, how much did you spend each month on fuel, insurance, registration, repairs?</t>
      </text>
    </comment>
    <comment ref="B31" authorId="0" shapeId="0">
      <text>
        <t>Explanation:
This is the cost of purchasing or leasing equipment to produce your product(s) and/or service(s), or the use of software to support you in delivering your product(s) and/or service(s).</t>
      </text>
    </comment>
    <comment ref="B32" authorId="0" shapeId="0">
      <text>
        <t>Explanation:
Every business incurs administrative costs, whether it is postage stamps to send out your product(s) and/or service(s), stationery products for you and your team, or printing facilities. How much did you spend in the last six-months?</t>
      </text>
    </comment>
    <comment ref="B33" authorId="0" shapeId="0">
      <text>
        <t>Explanation:
If you run a product based business then you may incur monthly fees for transport and delivery of your goods.</t>
      </text>
    </comment>
    <comment ref="B34" authorId="0" shapeId="0">
      <text>
        <t>Explanation:
Think about any professional services you used in the last six-months to manage your business. This might have been on a retainer or ad-hoc basis. 
For example, a lawyer, accountant, designer or marketing consultant.</t>
      </text>
    </comment>
    <comment ref="B35" authorId="0" shapeId="0">
      <text>
        <t>Explanation:
These cells are based on how much you have drawn from the business as a salary to cover your expenses in the last six-months. These drawings should appear on your bank statements and may have been withdrawn as a one-off payment each month or as numerous payments throughout the month.
Either way, reflect the total monthly amount in this row.</t>
      </text>
    </comment>
    <comment ref="B36" authorId="0" shapeId="0">
      <text>
        <t>Explanation:
If you hired staff, whether full time or part time, then this is where you can reflect the amount of money you spent each month on staff salaries, national insurance contributions and staff pensions etc.</t>
      </text>
    </comment>
    <comment ref="B37" authorId="0" shapeId="0">
      <text>
        <t xml:space="preserve">Explanation:
This should be the monthly repayments you made on your original Start Up Loan for the last six-months (unless you have already repaid your loan in full at any time durin this period).
</t>
      </text>
    </comment>
    <comment ref="E37" authorId="0" shapeId="0">
      <text>
        <t xml:space="preserve">Jane Cormack:
Tip:
Your monthly loan repayments should have been the same each month, unless you repaid your loan in full at any time during the last six-months. 
Simply enter the monthly amount in this first cell, and this will automatically carry it across for the remaining six-months.
</t>
      </text>
    </comment>
    <comment ref="B38" authorId="0" shapeId="0">
      <text>
        <t>Explanation:
Use these fields if your business has had any other expenses or cash out-flows in the last six-months that are not covered in the above. 
Provide a description of these items in the next field.</t>
      </text>
    </comment>
    <comment ref="B39" authorId="0" shapeId="0">
      <text>
        <t>Explanation:
Use these fields if your business has had any other expenses or cash out-flows in the last six-months that are not covered in the above. 
Provide a description of these items in the next field.</t>
      </text>
    </comment>
    <comment ref="B40" authorId="0" shapeId="0">
      <text>
        <t>Explanation:
Use these fields if your business has had any other expenses or cash out-flows in the last six-months that are not covered in the above. 
Provide a description of these items in the next field.</t>
      </text>
    </comment>
    <comment ref="B41" authorId="0" shapeId="0">
      <text>
        <t>Explanation:
Use these fields if your business has had any other expenses or cash out-flows in the last six-months that are not covered in the above. 
Provide a description of these items in the next field.</t>
      </text>
    </comment>
    <comment ref="B42" authorId="0" shapeId="0">
      <text>
        <t>Explanation:
Use these fields if your business has had any other expenses or cash out-flows in the last six-months that are not covered in the above. 
Provide a description of these items in the next field.</t>
      </text>
    </comment>
    <comment ref="B43" authorId="0" shapeId="0">
      <text>
        <t>Explanation:
Your total cash out-flow is made up of all your expenses from the last six-months added together.</t>
      </text>
    </comment>
    <comment ref="C45" authorId="0" shapeId="0">
      <text>
        <t>Explanation:
Your net cash flow tells you the difference between what came into your business and what went out of your business over the last six-months.</t>
      </text>
    </comment>
    <comment ref="C47" authorId="0" shapeId="0">
      <text>
        <t xml:space="preserve">Explanation:
This is the amount of money that you had available for your business at the start of each month. You'll see this number will auto-update for each month, based on the previous months' cash flow.
</t>
      </text>
    </comment>
    <comment ref="D47" authorId="0" shapeId="0">
      <text>
        <t>Explanation:
Use this field to insert your balance on your business account at the start of month one (six-months ago). 
For example, if six months ago was September 2017, you should insert your business account balance at the start of that day into this cell.You can review your business bank accounts for help working this out.</t>
      </text>
    </comment>
    <comment ref="C49" authorId="0" shapeId="0">
      <text>
        <t xml:space="preserve">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text>
    </comment>
    <comment ref="B52" authorId="0" shapeId="0">
      <text>
        <t>Explanation:
This is a good place to write any notes that you want your Business Adviser to take into account when reviewing your Actual Cash Flows.
This might be if something needs further explanation or if you want to more clearly reference a figure back to something in your Business Plan.</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s>
</file>

<file path=xl/drawings/_rels/drawing3.xml.rels><Relationships xmlns="http://schemas.openxmlformats.org/package/2006/relationships"><Relationship Type="http://schemas.openxmlformats.org/officeDocument/2006/relationships/image" Target="/xl/media/image6.png" Id="rId1" /></Relationships>
</file>

<file path=xl/drawings/_rels/drawing4.xml.rels><Relationships xmlns="http://schemas.openxmlformats.org/package/2006/relationships"><Relationship Type="http://schemas.openxmlformats.org/officeDocument/2006/relationships/image" Target="/xl/media/image7.png" Id="rId1" /></Relationships>
</file>

<file path=xl/drawings/_rels/drawing5.xml.rels><Relationships xmlns="http://schemas.openxmlformats.org/package/2006/relationships"><Relationship Type="http://schemas.openxmlformats.org/officeDocument/2006/relationships/image" Target="/xl/media/image8.png" Id="rId1" /></Relationships>
</file>

<file path=xl/drawings/_rels/drawing6.xml.rels><Relationships xmlns="http://schemas.openxmlformats.org/package/2006/relationships"><Relationship Type="http://schemas.openxmlformats.org/officeDocument/2006/relationships/image" Target="/xl/media/image9.png" Id="rId1" /></Relationships>
</file>

<file path=xl/drawings/_rels/drawing7.xml.rels><Relationships xmlns="http://schemas.openxmlformats.org/package/2006/relationships"><Relationship Type="http://schemas.openxmlformats.org/officeDocument/2006/relationships/image" Target="/xl/media/image10.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13</col>
      <colOff>1340644</colOff>
      <row>2</row>
      <rowOff>2381</rowOff>
    </from>
    <to>
      <col>14</col>
      <colOff>243915</colOff>
      <row>5</row>
      <rowOff>191498</rowOff>
    </to>
    <pic>
      <nvPicPr>
        <cNvPr id="4" name="Picture 3"/>
        <cNvPicPr>
          <a:picLocks noChangeAspect="1"/>
        </cNvPicPr>
      </nvPicPr>
      <blipFill>
        <a:blip r:embed="rId1"/>
        <a:stretch>
          <a:fillRect/>
        </a:stretch>
      </blipFill>
      <spPr>
        <a:xfrm>
          <a:off x="10782300" y="383381"/>
          <a:ext cx="1872214" cy="902381"/>
        </a:xfrm>
        <a:prstGeom prst="rect">
          <avLst/>
        </a:prstGeom>
        <a:ln>
          <a:prstDash val="solid"/>
        </a:ln>
      </spPr>
    </pic>
    <clientData/>
  </twoCellAnchor>
  <twoCellAnchor editAs="oneCell">
    <from>
      <col>0</col>
      <colOff>219075</colOff>
      <row>34</row>
      <rowOff>34925</rowOff>
    </from>
    <to>
      <col>8</col>
      <colOff>596900</colOff>
      <row>58</row>
      <rowOff>53975</rowOff>
    </to>
    <pic>
      <nvPicPr>
        <cNvPr id="3" name="Picture 2"/>
        <cNvPicPr/>
      </nvPicPr>
      <blipFill rotWithShape="1">
        <a:blip r:embed="rId2"/>
        <a:srcRect r="46000"/>
        <a:stretch>
          <a:fillRect/>
        </a:stretch>
      </blipFill>
      <spPr bwMode="auto">
        <a:xfrm>
          <a:off x="219075" y="12344400"/>
          <a:ext cx="5155565" cy="4810760"/>
        </a:xfrm>
        <a:prstGeom prst="rect">
          <avLst/>
        </a:prstGeom>
        <a:ln>
          <a:noFill/>
          <a:prstDash val="solid"/>
        </a:ln>
      </spPr>
    </pic>
    <clientData/>
  </twoCellAnchor>
  <twoCellAnchor editAs="oneCell">
    <from>
      <col>8</col>
      <colOff>504825</colOff>
      <row>34</row>
      <rowOff>82550</rowOff>
    </from>
    <to>
      <col>13</col>
      <colOff>2006600</colOff>
      <row>57</row>
      <rowOff>26670</rowOff>
    </to>
    <pic>
      <nvPicPr>
        <cNvPr id="5" name="Picture 4"/>
        <cNvPicPr/>
      </nvPicPr>
      <blipFill rotWithShape="1">
        <a:blip r:embed="rId3"/>
        <a:srcRect r="8058"/>
        <a:stretch>
          <a:fillRect/>
        </a:stretch>
      </blipFill>
      <spPr bwMode="auto">
        <a:xfrm>
          <a:off x="5276850" y="12392025"/>
          <a:ext cx="6689090" cy="4556760"/>
        </a:xfrm>
        <a:prstGeom prst="rect">
          <avLst/>
        </a:prstGeom>
        <a:ln>
          <a:noFill/>
          <a:prstDash val="solid"/>
        </a:ln>
      </spPr>
    </pic>
    <clientData/>
  </twoCellAnchor>
  <twoCellAnchor editAs="oneCell">
    <from>
      <col>1</col>
      <colOff>168284</colOff>
      <row>62</row>
      <rowOff>19054</rowOff>
    </from>
    <to>
      <col>12</col>
      <colOff>120056</colOff>
      <row>98</row>
      <rowOff>166911</rowOff>
    </to>
    <pic>
      <nvPicPr>
        <cNvPr id="2" name="Picture 1"/>
        <cNvPicPr>
          <a:picLocks noChangeAspect="1"/>
        </cNvPicPr>
      </nvPicPr>
      <blipFill>
        <a:blip r:embed="rId4"/>
        <a:stretch>
          <a:fillRect/>
        </a:stretch>
      </blipFill>
      <spPr>
        <a:xfrm>
          <a:off x="522070" y="17817197"/>
          <a:ext cx="6905022" cy="651600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16</col>
      <colOff>428625</colOff>
      <row>1</row>
      <rowOff>128588</rowOff>
    </from>
    <to>
      <col>18</col>
      <colOff>20236</colOff>
      <row>4</row>
      <rowOff>93904</rowOff>
    </to>
    <pic>
      <nvPicPr>
        <cNvPr id="2" name="Picture 1"/>
        <cNvPicPr>
          <a:picLocks noChangeAspect="1"/>
        </cNvPicPr>
      </nvPicPr>
      <blipFill>
        <a:blip r:embed="rId1"/>
        <a:stretch>
          <a:fillRect/>
        </a:stretch>
      </blipFill>
      <spPr>
        <a:xfrm>
          <a:off x="10464800" y="306388"/>
          <a:ext cx="1838876" cy="90194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6</col>
      <colOff>476251</colOff>
      <row>1</row>
      <rowOff>59532</rowOff>
    </from>
    <to>
      <col>8</col>
      <colOff>122789</colOff>
      <row>3</row>
      <rowOff>257063</rowOff>
    </to>
    <pic>
      <nvPicPr>
        <cNvPr id="4" name="Picture 3"/>
        <cNvPicPr>
          <a:picLocks noChangeAspect="1"/>
        </cNvPicPr>
      </nvPicPr>
      <blipFill>
        <a:blip r:embed="rId1"/>
        <a:stretch>
          <a:fillRect/>
        </a:stretch>
      </blipFill>
      <spPr>
        <a:xfrm>
          <a:off x="5679282" y="250032"/>
          <a:ext cx="1867451" cy="90000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6</col>
      <colOff>428625</colOff>
      <row>1</row>
      <rowOff>142875</rowOff>
    </from>
    <to>
      <col>7</col>
      <colOff>21506</colOff>
      <row>4</row>
      <rowOff>169750</rowOff>
    </to>
    <pic>
      <nvPicPr>
        <cNvPr id="3" name="Picture 2"/>
        <cNvPicPr>
          <a:picLocks noChangeAspect="1"/>
        </cNvPicPr>
      </nvPicPr>
      <blipFill>
        <a:blip r:embed="rId1"/>
        <a:stretch>
          <a:fillRect/>
        </a:stretch>
      </blipFill>
      <spPr>
        <a:xfrm>
          <a:off x="9925050" y="352425"/>
          <a:ext cx="1867451" cy="900000"/>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9</col>
      <colOff>752475</colOff>
      <row>1</row>
      <rowOff>161925</rowOff>
    </from>
    <to>
      <col>10</col>
      <colOff>38651</colOff>
      <row>4</row>
      <rowOff>171020</rowOff>
    </to>
    <pic>
      <nvPicPr>
        <cNvPr id="4" name="Picture 3"/>
        <cNvPicPr>
          <a:picLocks noChangeAspect="1"/>
        </cNvPicPr>
      </nvPicPr>
      <blipFill>
        <a:blip r:embed="rId1"/>
        <a:stretch>
          <a:fillRect/>
        </a:stretch>
      </blipFill>
      <spPr>
        <a:xfrm>
          <a:off x="15335250" y="457200"/>
          <a:ext cx="1867451" cy="900000"/>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15</col>
      <colOff>257175</colOff>
      <row>2</row>
      <rowOff>19050</rowOff>
    </from>
    <to>
      <col>17</col>
      <colOff>20236</colOff>
      <row>4</row>
      <rowOff>240870</rowOff>
    </to>
    <pic>
      <nvPicPr>
        <cNvPr id="3" name="Picture 2"/>
        <cNvPicPr>
          <a:picLocks noChangeAspect="1"/>
        </cNvPicPr>
      </nvPicPr>
      <blipFill>
        <a:blip r:embed="rId1"/>
        <a:stretch>
          <a:fillRect/>
        </a:stretch>
      </blipFill>
      <spPr>
        <a:xfrm>
          <a:off x="15954375" y="457200"/>
          <a:ext cx="1867451" cy="900000"/>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9</col>
      <colOff>403412</colOff>
      <row>1</row>
      <rowOff>168087</rowOff>
    </from>
    <to>
      <col>11</col>
      <colOff>19658</colOff>
      <row>4</row>
      <rowOff>168507</rowOff>
    </to>
    <pic>
      <nvPicPr>
        <cNvPr id="2" name="Picture 1"/>
        <cNvPicPr>
          <a:picLocks noChangeAspect="1"/>
        </cNvPicPr>
      </nvPicPr>
      <blipFill>
        <a:blip r:embed="rId1"/>
        <a:stretch>
          <a:fillRect/>
        </a:stretch>
      </blipFill>
      <spPr>
        <a:xfrm>
          <a:off x="12010577" y="381447"/>
          <a:ext cx="1883196" cy="888150"/>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britishbusinessbankplc.sharepoint.com/personal/ryan_flanagan_startuploans_co_uk/Documents/Documents/CX/Central%20BPCFFPSB%20V4.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Guidance"/>
      <sheetName val="1 Actual Cash Flows"/>
      <sheetName val="1 Business Plan(BP)"/>
      <sheetName val="Loan Calculator"/>
      <sheetName val="2 Personal Survival Budget(PSB)"/>
      <sheetName val="3 Sales Assumptions"/>
      <sheetName val="3.1 Cash Flow Forecast(CFF)"/>
      <sheetName val="3.2 Cash Flow Forecast(CFF)"/>
      <sheetName val="1.1Business Plan(BP) Plus"/>
      <sheetName val="CC 4"/>
      <sheetName val="CC 2"/>
      <sheetName val="Months"/>
      <sheetName val="STRESS TESTING (internal use)"/>
      <sheetName val="Central BPCFFPSB V4"/>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tables/table1.xml><?xml version="1.0" encoding="utf-8"?>
<table xmlns="http://schemas.openxmlformats.org/spreadsheetml/2006/main" id="1" name="Loan3" displayName="Loan3" ref="B26:H262" headerRowCount="1" headerRowDxfId="25" dataDxfId="24" totalsRowDxfId="22" tableBorderDxfId="23">
  <autoFilter ref="B26:H262">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No." totalsRowLabel="Total" dataDxfId="21" dataCellStyle="Comma">
      <calculatedColumnFormula>IFERROR(IF(Loan_Not_Paid*Values_Entered,Payment_Number,""), "")</calculatedColumnFormula>
    </tableColumn>
    <tableColumn id="2" name="Payment_x000a_Date" dataDxfId="20" dataCellStyle="Date">
      <calculatedColumnFormula>IFERROR(IF(Loan_Not_Paid*Values_Entered,Payment_Date,""), "")</calculatedColumnFormula>
    </tableColumn>
    <tableColumn id="3" name="Beginning_x000a_Balance" dataDxfId="19">
      <calculatedColumnFormula>IFERROR(IF(Loan_Not_Paid*Values_Entered,Beginning_Balance,""), "")</calculatedColumnFormula>
    </tableColumn>
    <tableColumn id="4" name="Payment" dataDxfId="18">
      <calculatedColumnFormula>IFERROR(IF(Loan_Not_Paid*Values_Entered,Monthly_Payment,""), "")</calculatedColumnFormula>
    </tableColumn>
    <tableColumn id="5" name="Principal" dataDxfId="17">
      <calculatedColumnFormula>IFERROR(IF(Loan_Not_Paid*Values_Entered,Principal,""), "")</calculatedColumnFormula>
    </tableColumn>
    <tableColumn id="6" name="Interest" dataDxfId="16">
      <calculatedColumnFormula>IFERROR(IF(Loan_Not_Paid*Values_Entered,Interest,""), "")</calculatedColumnFormula>
    </tableColumn>
    <tableColumn id="7" name="Ending_x000a_Balance" totalsRowFunction="count" dataDxfId="15">
      <calculatedColumnFormula>IFERROR(IF(Loan_Not_Paid*Values_Entered,Ending_Balance,""), "")</calculatedColumnFormula>
    </tableColumn>
  </tableColumns>
  <tableStyleInfo showFirstColumn="0" showLastColumn="0" showRowStripes="1" showColumnStripes="0"/>
</table>
</file>

<file path=xl/theme/theme1.xml><?xml version="1.0" encoding="utf-8"?>
<a:theme xmlns:a="http://schemas.openxmlformats.org/drawingml/2006/main" name="BBB theme">
  <a:themeElements>
    <a:clrScheme name="BBB Theme Colours">
      <a:dk1>
        <a:sysClr val="windowText" lastClr="000000"/>
      </a:dk1>
      <a:lt1>
        <a:sysClr val="window" lastClr="FFFFFF"/>
      </a:lt1>
      <a:dk2>
        <a:srgbClr val="142855"/>
      </a:dk2>
      <a:lt2>
        <a:srgbClr val="AFCAD2"/>
      </a:lt2>
      <a:accent1>
        <a:srgbClr val="142855"/>
      </a:accent1>
      <a:accent2>
        <a:srgbClr val="0054BA"/>
      </a:accent2>
      <a:accent3>
        <a:srgbClr val="55C0FF"/>
      </a:accent3>
      <a:accent4>
        <a:srgbClr val="50C5A7"/>
      </a:accent4>
      <a:accent5>
        <a:srgbClr val="FFA0B4"/>
      </a:accent5>
      <a:accent6>
        <a:srgbClr val="FFB500"/>
      </a:accent6>
      <a:hlink>
        <a:srgbClr val="142855"/>
      </a:hlink>
      <a:folHlink>
        <a:srgbClr val="0054BA"/>
      </a:folHlink>
    </a:clrScheme>
    <a:fontScheme name="BBB Theme Fonts">
      <a:majorFont>
        <a:latin typeface="Arial"/>
        <a:ea typeface=""/>
        <a:cs typeface=""/>
      </a:majorFont>
      <a:minorFont>
        <a:latin typeface="Arial"/>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9525">
          <a:solidFill>
            <a:srgbClr val="CCCCCC"/>
          </a:solidFill>
        </a:ln>
      </a:spPr>
      <a:bodyPr/>
      <a:lstStyle/>
      <a:style>
        <a:lnRef idx="1">
          <a:schemeClr val="accent1"/>
        </a:lnRef>
        <a:fillRef idx="0">
          <a:schemeClr val="accent1"/>
        </a:fillRef>
        <a:effectRef idx="0">
          <a:schemeClr val="accent1"/>
        </a:effectRef>
        <a:fontRef idx="minor">
          <a:schemeClr val="tx1"/>
        </a:fontRef>
      </a:style>
    </a:lnDef>
    <a:txDef>
      <a:spPr>
        <a:solidFill>
          <a:schemeClr val="bg1"/>
        </a:solidFill>
        <a:ln w="19050">
          <a:noFill/>
        </a:ln>
      </a:spPr>
      <a:bodyPr wrap="square" lIns="0" tIns="0" rIns="0" bIns="0" anchor="ctr">
        <a:noAutofit/>
      </a:bodyPr>
      <a:lstStyle>
        <a:defPPr algn="ctr">
          <a:defRPr sz="1100" dirty="0">
            <a:solidFill>
              <a:schemeClr val="tx2"/>
            </a:solidFill>
          </a:defRPr>
        </a:defPPr>
      </a:lstStyle>
    </a:txDef>
  </a:objectDefaults>
  <a:extraClrSchemeLst/>
  <a:extLst>
    <a:ext uri="{05A4C25C-085E-4340-85A3-A5531E510DB2}">
      <thm15:themeFamily xmlns:thm15="http://schemas.microsoft.com/office/thememl/2012/main" name="BBB Theme1" id="{608097DA-44A2-499D-ACCF-635A6553A4A8}" vid="{0C279004-74A5-4C93-94E0-AA7957F851E5}"/>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1.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drawing" Target="/xl/drawings/drawing7.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E14" sqref="E14"/>
    </sheetView>
  </sheetViews>
  <sheetFormatPr baseColWidth="8" defaultRowHeight="14"/>
  <sheetData>
    <row r="1">
      <c r="A1" s="14" t="inlineStr">
        <is>
          <t>January</t>
        </is>
      </c>
    </row>
    <row r="2">
      <c r="A2" s="14" t="inlineStr">
        <is>
          <t>February</t>
        </is>
      </c>
    </row>
    <row r="3">
      <c r="A3" s="14" t="inlineStr">
        <is>
          <t>March</t>
        </is>
      </c>
    </row>
    <row r="4">
      <c r="A4" s="14" t="inlineStr">
        <is>
          <t>April</t>
        </is>
      </c>
    </row>
    <row r="5">
      <c r="A5" s="14" t="inlineStr">
        <is>
          <t>May</t>
        </is>
      </c>
    </row>
    <row r="6">
      <c r="A6" s="14" t="inlineStr">
        <is>
          <t>June</t>
        </is>
      </c>
    </row>
    <row r="7">
      <c r="A7" s="14" t="inlineStr">
        <is>
          <t>July</t>
        </is>
      </c>
    </row>
    <row r="8">
      <c r="A8" s="14" t="inlineStr">
        <is>
          <t>August</t>
        </is>
      </c>
    </row>
    <row r="9">
      <c r="A9" s="14" t="inlineStr">
        <is>
          <t>September</t>
        </is>
      </c>
    </row>
    <row r="10">
      <c r="A10" s="14" t="inlineStr">
        <is>
          <t>October</t>
        </is>
      </c>
    </row>
    <row r="11">
      <c r="A11" s="14" t="inlineStr">
        <is>
          <t>November</t>
        </is>
      </c>
    </row>
    <row r="12">
      <c r="A12" s="14" t="inlineStr">
        <is>
          <t>December</t>
        </is>
      </c>
    </row>
  </sheetData>
  <pageMargins left="0.7" right="0.7" top="0.75" bottom="0.75" header="0.3" footer="0.3"/>
</worksheet>
</file>

<file path=xl/worksheets/sheet2.xml><?xml version="1.0" encoding="utf-8"?>
<worksheet xmlns="http://schemas.openxmlformats.org/spreadsheetml/2006/main">
  <sheetPr>
    <tabColor theme="4"/>
    <outlinePr summaryBelow="1" summaryRight="1"/>
    <pageSetUpPr fitToPage="1"/>
  </sheetPr>
  <dimension ref="A1:Q62"/>
  <sheetViews>
    <sheetView showGridLines="0" zoomScale="70" zoomScaleNormal="70" zoomScaleSheetLayoutView="100" zoomScalePageLayoutView="50" workbookViewId="0">
      <selection activeCell="E3" sqref="E3:L3"/>
    </sheetView>
  </sheetViews>
  <sheetFormatPr baseColWidth="8" defaultColWidth="8.58203125" defaultRowHeight="14"/>
  <cols>
    <col width="4.58203125" customWidth="1" style="47" min="1" max="1"/>
    <col width="4" customWidth="1" style="462" min="2" max="2"/>
    <col width="4.08203125" customWidth="1" style="47" min="3" max="3"/>
    <col width="14.58203125" customWidth="1" style="47" min="4" max="4"/>
    <col width="8.58203125" customWidth="1" style="47" min="5" max="12"/>
    <col width="33" customWidth="1" style="47" min="13" max="13"/>
    <col width="39" customWidth="1" style="47" min="14" max="14"/>
    <col width="5" customWidth="1" style="47" min="15" max="15"/>
    <col width="8.58203125" customWidth="1" style="47" min="16" max="16384"/>
  </cols>
  <sheetData>
    <row r="1" ht="14.5" customHeight="1" thickBot="1">
      <c r="A1" s="44" t="n"/>
      <c r="B1" s="45" t="n"/>
      <c r="C1" s="46" t="n"/>
      <c r="D1" s="46" t="n"/>
      <c r="E1" s="46" t="n"/>
      <c r="F1" s="46" t="n"/>
      <c r="G1" s="46" t="n"/>
      <c r="H1" s="46" t="n"/>
      <c r="I1" s="46" t="n"/>
      <c r="J1" s="46" t="n"/>
      <c r="K1" s="46" t="n"/>
      <c r="L1" s="46" t="n"/>
      <c r="M1" s="46" t="n"/>
      <c r="N1" s="46" t="n"/>
      <c r="O1" s="44" t="n"/>
    </row>
    <row r="2" ht="14.5" customHeight="1" thickTop="1">
      <c r="A2" s="44" t="n"/>
      <c r="B2" s="53" t="n"/>
      <c r="C2" s="44" t="n"/>
      <c r="D2" s="44" t="n"/>
      <c r="E2" s="44" t="n"/>
      <c r="F2" s="44" t="n"/>
      <c r="G2" s="44" t="n"/>
      <c r="H2" s="44" t="n"/>
      <c r="I2" s="44" t="n"/>
      <c r="J2" s="44" t="n"/>
      <c r="K2" s="44" t="n"/>
      <c r="L2" s="44" t="n"/>
      <c r="M2" s="44" t="n"/>
      <c r="N2" s="44" t="n"/>
      <c r="O2" s="44" t="n"/>
    </row>
    <row r="3" ht="17.5" customHeight="1">
      <c r="A3" s="44" t="n"/>
      <c r="B3" s="53" t="n"/>
      <c r="C3" s="44" t="n"/>
      <c r="D3" s="297" t="inlineStr">
        <is>
          <t>Name:</t>
        </is>
      </c>
      <c r="E3" s="913" t="inlineStr">
        <is>
          <t>Harsha Dandi</t>
        </is>
      </c>
      <c r="F3" s="914" t="n"/>
      <c r="G3" s="914" t="n"/>
      <c r="H3" s="914" t="n"/>
      <c r="I3" s="914" t="n"/>
      <c r="J3" s="914" t="n"/>
      <c r="K3" s="914" t="n"/>
      <c r="L3" s="915" t="n"/>
      <c r="M3" s="44" t="n"/>
      <c r="N3" s="44" t="n"/>
      <c r="O3" s="44" t="n"/>
    </row>
    <row r="4" ht="17.5" customHeight="1">
      <c r="A4" s="44" t="n"/>
      <c r="B4" s="53" t="n"/>
      <c r="C4" s="44" t="n"/>
      <c r="D4" s="297" t="inlineStr">
        <is>
          <t>Company Name:</t>
        </is>
      </c>
      <c r="E4" s="913" t="inlineStr">
        <is>
          <t>SOLUM</t>
        </is>
      </c>
      <c r="F4" s="914" t="n"/>
      <c r="G4" s="914" t="n"/>
      <c r="H4" s="914" t="n"/>
      <c r="I4" s="914" t="n"/>
      <c r="J4" s="914" t="n"/>
      <c r="K4" s="914" t="n"/>
      <c r="L4" s="915" t="n"/>
      <c r="M4" s="44" t="n"/>
      <c r="N4" s="44" t="n"/>
      <c r="O4" s="44" t="n"/>
    </row>
    <row r="5" ht="19.75" customHeight="1">
      <c r="A5" s="44" t="n"/>
      <c r="C5" s="44" t="n"/>
      <c r="D5" s="44" t="n"/>
      <c r="E5" s="44" t="n"/>
      <c r="F5" s="44" t="n"/>
      <c r="G5" s="44" t="n"/>
      <c r="H5" s="44" t="n"/>
      <c r="I5" s="44" t="n"/>
      <c r="J5" s="44" t="n"/>
      <c r="K5" s="44" t="n"/>
      <c r="L5" s="44" t="n"/>
      <c r="M5" s="44" t="n"/>
      <c r="N5" s="44" t="n"/>
      <c r="O5" s="44" t="n"/>
    </row>
    <row r="6" ht="49.5" customHeight="1" thickBot="1">
      <c r="A6" s="44" t="n"/>
      <c r="B6" s="458" t="inlineStr">
        <is>
          <t>Guidance on using these templates for your Start Up Loan application</t>
        </is>
      </c>
    </row>
    <row r="7" ht="220.5" customHeight="1" thickBot="1">
      <c r="A7" s="44" t="n"/>
      <c r="B7" s="916" t="inlineStr">
        <is>
          <t xml:space="preserve"> - First, please save your name and company name to this document, using the space above
 - In this document, you will find four tabs, that need to be completed as part of your loan application
 - Don't worry if you need some help. At the top of each tab you will find both a description of each of the templates, as well as some tips on how to complete them
 - We suggest you complete each template in number order so that you can carry forward any of your workings
 - If you need some help completing these documents, you can submit them as a first draft, within the customer portal and one of our Business Support Partners will be in touch to provide further assistance
 - If you have already completed a Business Plan, Personal Survival  Budget or Cash Flow Forecast, you do not have to transfer the information into our templates
 - Our templates have been designed to support our application process, so we would encourage you to provide the information we have requested across these templates, to help us assess your application quicker, so please review the information you provide before submitting
 - Finally, don't forget to save your document as you go through</t>
        </is>
      </c>
      <c r="C7" s="917" t="n"/>
      <c r="D7" s="917" t="n"/>
      <c r="E7" s="917" t="n"/>
      <c r="F7" s="917" t="n"/>
      <c r="G7" s="917" t="n"/>
      <c r="H7" s="917" t="n"/>
      <c r="I7" s="917" t="n"/>
      <c r="J7" s="917" t="n"/>
      <c r="K7" s="917" t="n"/>
      <c r="L7" s="917" t="n"/>
      <c r="M7" s="917" t="n"/>
      <c r="N7" s="918" t="n"/>
      <c r="O7" s="49" t="n"/>
    </row>
    <row r="8" ht="19.5" customHeight="1" thickBot="1">
      <c r="A8" s="44" t="n"/>
      <c r="B8" s="50" t="n"/>
      <c r="C8" s="46" t="n"/>
      <c r="D8" s="46" t="n"/>
      <c r="E8" s="46" t="n"/>
      <c r="F8" s="46" t="n"/>
      <c r="G8" s="51" t="n"/>
      <c r="H8" s="51" t="n"/>
      <c r="I8" s="51" t="n"/>
      <c r="J8" s="52" t="n"/>
      <c r="K8" s="46" t="n"/>
      <c r="L8" s="46" t="n"/>
      <c r="M8" s="46" t="n"/>
      <c r="N8" s="46" t="n"/>
      <c r="O8" s="44" t="n"/>
    </row>
    <row r="9" ht="13.5" customHeight="1" thickTop="1">
      <c r="A9" s="44" t="n"/>
      <c r="B9" s="53" t="n"/>
      <c r="C9" s="54" t="n"/>
      <c r="D9" s="54" t="n"/>
      <c r="E9" s="54" t="n"/>
      <c r="F9" s="54" t="n"/>
      <c r="G9" s="54" t="n"/>
      <c r="H9" s="54" t="n"/>
      <c r="I9" s="54" t="n"/>
      <c r="J9" s="54" t="n"/>
      <c r="K9" s="54" t="n"/>
      <c r="L9" s="54" t="n"/>
      <c r="M9" s="54" t="n"/>
      <c r="N9" s="54" t="n"/>
      <c r="O9" s="55" t="n"/>
    </row>
    <row r="10" ht="23" customHeight="1">
      <c r="A10" s="44" t="n"/>
      <c r="B10" s="453" t="inlineStr">
        <is>
          <t>TIPS ON COMPLETING THE TEMPLATES</t>
        </is>
      </c>
      <c r="O10" s="44" t="n"/>
    </row>
    <row r="11" ht="18" customHeight="1">
      <c r="A11" s="44" t="n"/>
      <c r="B11" s="56" t="n"/>
      <c r="C11" s="57" t="n"/>
      <c r="D11" s="57" t="n"/>
      <c r="E11" s="57" t="n"/>
      <c r="F11" s="57" t="n"/>
      <c r="G11" s="57" t="n"/>
      <c r="H11" s="57" t="n"/>
      <c r="I11" s="57" t="n"/>
      <c r="J11" s="57" t="n"/>
      <c r="K11" s="57" t="n"/>
      <c r="L11" s="57" t="n"/>
      <c r="M11" s="57" t="n"/>
      <c r="N11" s="57" t="n"/>
      <c r="O11" s="44" t="n"/>
    </row>
    <row r="12" ht="47.25" customHeight="1">
      <c r="A12" s="44" t="n"/>
      <c r="B12" s="455" t="inlineStr">
        <is>
          <t>*</t>
        </is>
      </c>
      <c r="C12" s="454" t="inlineStr">
        <is>
          <t>The templates are designed to be as easy to use as possible - for the BP tab, please follow the guidelines closely and relate these guidelines to your business. For the CFF, SA and PSB, simply enter your figures into the white coloured cells on the templates and all of the light blue coloured cells will auto-calculate based on your responses.</t>
        </is>
      </c>
      <c r="O12" s="58" t="n"/>
      <c r="P12" s="59" t="n"/>
    </row>
    <row r="13" ht="52.5" customHeight="1">
      <c r="A13" s="44" t="n"/>
      <c r="B13" s="455" t="inlineStr">
        <is>
          <t>*</t>
        </is>
      </c>
      <c r="C13" s="454" t="inlineStr">
        <is>
          <t>For an explanation of any terms included on these templates, hover over the cells that have a red triangle in the top right corner and you will see some further instructions and guidance related to that item. If you're still unsure don't worry: your first draft won't necessarily be your final submission. Your Business Adviser will be able to work with you once you have submitted an initial draft;</t>
        </is>
      </c>
      <c r="O13" s="58" t="n"/>
      <c r="P13" s="55" t="n"/>
    </row>
    <row r="14" ht="35.25" customHeight="1">
      <c r="A14" s="44" t="n"/>
      <c r="B14" s="455" t="inlineStr">
        <is>
          <t>*</t>
        </is>
      </c>
      <c r="C14" s="454" t="inlineStr">
        <is>
          <t>For the PSB and CFF, If you want to see what formula is being used to calculate any of the blue cells, or find out which cells are being used in the calculation, simply click on the cell and the formula will display in the Formula Bar at the top of the page;</t>
        </is>
      </c>
      <c r="O14" s="60" t="n"/>
      <c r="P14" s="55" t="n"/>
    </row>
    <row r="15" ht="49.5" customHeight="1">
      <c r="A15" s="44" t="n"/>
      <c r="B15" s="455" t="inlineStr">
        <is>
          <t>*</t>
        </is>
      </c>
      <c r="C15" s="454" t="inlineStr">
        <is>
          <t>If any of the numbers you enter result in a negative balance, then this negative balance will be displayed in red to draw this to your attention. Ideally, you want to avoid negative totals or balances, so think about what you can feasibly change in order to achieve this. Alternatively please provide details of how this negative balance will be covered (i.e. Business overdraft etc.) within the commentary box provided;</t>
        </is>
      </c>
      <c r="O15" s="58" t="n"/>
      <c r="P15" s="55" t="n"/>
    </row>
    <row r="16" ht="22.5" customHeight="1">
      <c r="A16" s="44" t="n"/>
      <c r="B16" s="455" t="inlineStr">
        <is>
          <t>*</t>
        </is>
      </c>
      <c r="C16" s="455" t="inlineStr">
        <is>
          <t>The templates list a range of common options but they might not all be applicable for you. Add or remove items as relevant to you and your business;</t>
        </is>
      </c>
      <c r="O16" s="44" t="n"/>
      <c r="P16" s="55" t="n"/>
    </row>
    <row r="17" ht="24" customHeight="1">
      <c r="A17" s="44" t="n"/>
      <c r="B17" s="455" t="inlineStr">
        <is>
          <t>*</t>
        </is>
      </c>
      <c r="C17" s="455" t="inlineStr">
        <is>
          <t>All values that you enter should be in GBP (£) and should include VAT;</t>
        </is>
      </c>
      <c r="O17" s="54" t="n"/>
      <c r="P17" s="55" t="n"/>
    </row>
    <row r="18" ht="27.25" customHeight="1" thickBot="1">
      <c r="A18" s="44" t="n"/>
      <c r="B18" s="455" t="inlineStr">
        <is>
          <t>*</t>
        </is>
      </c>
      <c r="C18" s="451" t="inlineStr">
        <is>
          <t>Use the commentary box at the bottom of the templates to explain any assumptions you've made or notes you'd like to discuss with your Business Adviser;</t>
        </is>
      </c>
      <c r="D18" s="919" t="n"/>
      <c r="E18" s="919" t="n"/>
      <c r="F18" s="919" t="n"/>
      <c r="G18" s="919" t="n"/>
      <c r="H18" s="919" t="n"/>
      <c r="I18" s="919" t="n"/>
      <c r="J18" s="919" t="n"/>
      <c r="K18" s="919" t="n"/>
      <c r="L18" s="919" t="n"/>
      <c r="M18" s="919" t="n"/>
      <c r="N18" s="919" t="n"/>
      <c r="O18" s="58" t="n"/>
      <c r="P18" s="55" t="n"/>
    </row>
    <row r="19">
      <c r="A19" s="44" t="n"/>
      <c r="B19" s="455" t="n"/>
      <c r="C19" s="57" t="n"/>
      <c r="D19" s="57" t="n"/>
      <c r="E19" s="57" t="n"/>
      <c r="F19" s="57" t="n"/>
      <c r="G19" s="57" t="n"/>
      <c r="H19" s="57" t="n"/>
      <c r="I19" s="57" t="n"/>
      <c r="J19" s="57" t="n"/>
      <c r="K19" s="57" t="n"/>
      <c r="L19" s="57" t="n"/>
      <c r="M19" s="57" t="n"/>
      <c r="N19" s="57" t="n"/>
      <c r="O19" s="44" t="n"/>
      <c r="P19" s="44" t="n"/>
      <c r="Q19" s="44" t="n"/>
    </row>
    <row r="20" ht="14.5" customHeight="1">
      <c r="A20" s="44" t="n"/>
      <c r="B20" s="455" t="inlineStr">
        <is>
          <t>*</t>
        </is>
      </c>
      <c r="C20" s="452" t="inlineStr">
        <is>
          <t xml:space="preserve">For free and impartial advice on your personal budgeting, contact the government-backed Money Advice Service via their website or telephone. </t>
        </is>
      </c>
      <c r="O20" s="44" t="n"/>
      <c r="P20" s="44" t="n"/>
      <c r="Q20" s="44" t="n"/>
    </row>
    <row r="21" ht="14.5" customHeight="1">
      <c r="A21" s="44" t="n"/>
      <c r="B21" s="455" t="n"/>
      <c r="C21" s="452" t="inlineStr">
        <is>
          <t>Go to http://www.moneyadviceservice.org.uk or call: 0800 138 7777 (calls are free).</t>
        </is>
      </c>
      <c r="O21" s="44" t="n"/>
      <c r="P21" s="44" t="n"/>
      <c r="Q21" s="44" t="n"/>
    </row>
    <row r="22">
      <c r="A22" s="44" t="n"/>
      <c r="B22" s="53" t="n"/>
      <c r="C22" s="44" t="n"/>
      <c r="D22" s="44" t="n"/>
      <c r="E22" s="44" t="n"/>
      <c r="F22" s="44" t="n"/>
      <c r="G22" s="44" t="n"/>
      <c r="H22" s="44" t="n"/>
      <c r="I22" s="44" t="n"/>
      <c r="J22" s="44" t="n"/>
      <c r="K22" s="44" t="n"/>
      <c r="L22" s="44" t="n"/>
      <c r="M22" s="44" t="n"/>
      <c r="N22" s="44" t="n"/>
      <c r="O22" s="44" t="n"/>
      <c r="P22" s="44" t="n"/>
      <c r="Q22" s="44" t="n"/>
    </row>
    <row r="23" ht="23" customHeight="1">
      <c r="A23" s="44" t="n"/>
      <c r="B23" s="453" t="inlineStr">
        <is>
          <t>Excel Tips</t>
        </is>
      </c>
      <c r="O23" s="44" t="n"/>
      <c r="P23" s="44" t="n"/>
      <c r="Q23" s="44" t="n"/>
    </row>
    <row r="24">
      <c r="A24" s="44" t="n"/>
      <c r="B24" s="53" t="n"/>
      <c r="C24" s="44" t="n"/>
      <c r="D24" s="44" t="n"/>
      <c r="E24" s="44" t="n"/>
      <c r="F24" s="44" t="n"/>
      <c r="G24" s="44" t="n"/>
      <c r="H24" s="44" t="n"/>
      <c r="I24" s="44" t="n"/>
      <c r="J24" s="44" t="n"/>
      <c r="K24" s="44" t="n"/>
      <c r="L24" s="44" t="n"/>
      <c r="M24" s="44" t="n"/>
      <c r="N24" s="44" t="n"/>
      <c r="O24" s="44" t="n"/>
      <c r="P24" s="44" t="n"/>
      <c r="Q24" s="44" t="n"/>
    </row>
    <row r="25" ht="32.25" customHeight="1">
      <c r="B25" s="455" t="inlineStr">
        <is>
          <t>*</t>
        </is>
      </c>
      <c r="C25" s="454" t="inlineStr">
        <is>
          <t>If you need to go to the next line in a cell or create another bullet point in the same cell, press and hold the Alt key and click the Enter key once. This will tab down to the next line but you will remain in the same cell. To save the changes you have made to the cell, press Enter once you are finished. Do not press Esc as this will delete your changes.</t>
        </is>
      </c>
    </row>
    <row r="26">
      <c r="B26" s="455" t="inlineStr">
        <is>
          <t>*</t>
        </is>
      </c>
      <c r="C26" s="454" t="inlineStr">
        <is>
          <t>If you need to edit a cell without deleting any of the text you have already typed in, first select the cell and click in the formula bar (shown in screenshot below)</t>
        </is>
      </c>
    </row>
    <row r="27">
      <c r="B27" s="455" t="inlineStr">
        <is>
          <t>*</t>
        </is>
      </c>
      <c r="C27" s="454" t="inlineStr">
        <is>
          <t>If you need more help with using excel please see our Excel Tips tab</t>
        </is>
      </c>
    </row>
    <row r="29" ht="23" customHeight="1">
      <c r="B29" s="453" t="inlineStr">
        <is>
          <t>Uploading this document to the portal</t>
        </is>
      </c>
    </row>
    <row r="31">
      <c r="B31" s="455" t="inlineStr">
        <is>
          <t>*</t>
        </is>
      </c>
      <c r="C31" s="454" t="inlineStr">
        <is>
          <t>Once you reach Stage 3:1 in the online application process you will first be asked to provide some basic information about your business as shown below (left)</t>
        </is>
      </c>
    </row>
    <row r="32" ht="31.5" customHeight="1">
      <c r="B32" s="455" t="inlineStr">
        <is>
          <t>*</t>
        </is>
      </c>
      <c r="C32" s="454" t="inlineStr">
        <is>
          <t>Following this, you will reach stage 3:2 where you will be asked to upload your business documents as shown below (right). You will also have the option to request help with your documents, if you need it.</t>
        </is>
      </c>
    </row>
    <row r="34">
      <c r="C34" s="47" t="inlineStr">
        <is>
          <t>Stage 3:1</t>
        </is>
      </c>
      <c r="J34" s="47" t="inlineStr">
        <is>
          <t>Stage 3:2</t>
        </is>
      </c>
    </row>
    <row r="39">
      <c r="B39" s="455" t="n"/>
      <c r="C39" s="454" t="n"/>
    </row>
    <row r="49" ht="49.4" customHeight="1">
      <c r="B49" s="455" t="n"/>
      <c r="C49" s="454" t="n"/>
    </row>
    <row r="60" ht="29.25" customHeight="1">
      <c r="B60" s="455" t="inlineStr">
        <is>
          <t>*</t>
        </is>
      </c>
      <c r="C60" s="454" t="inlineStr">
        <is>
          <t>If you need to re-visit the portal and re-upload your documents after making amendments, you can do so at any time by logging into your account and viewing the "Your Business information and documents" section on the portal and re-uploading.</t>
        </is>
      </c>
    </row>
    <row r="62">
      <c r="B62" s="455" t="n"/>
      <c r="C62" s="462" t="n"/>
    </row>
  </sheetData>
  <mergeCells count="25">
    <mergeCell ref="C16:N16"/>
    <mergeCell ref="E3:L3"/>
    <mergeCell ref="C25:N25"/>
    <mergeCell ref="C31:N31"/>
    <mergeCell ref="C21:N21"/>
    <mergeCell ref="C12:N12"/>
    <mergeCell ref="E4:L4"/>
    <mergeCell ref="C60:N60"/>
    <mergeCell ref="C27:N27"/>
    <mergeCell ref="C39:N39"/>
    <mergeCell ref="B7:N7"/>
    <mergeCell ref="C17:N17"/>
    <mergeCell ref="C32:N32"/>
    <mergeCell ref="C13:N13"/>
    <mergeCell ref="C18:N18"/>
    <mergeCell ref="C49:N49"/>
    <mergeCell ref="C62:N62"/>
    <mergeCell ref="B23:N23"/>
    <mergeCell ref="C15:N15"/>
    <mergeCell ref="B6:O6"/>
    <mergeCell ref="C14:N14"/>
    <mergeCell ref="B29:N29"/>
    <mergeCell ref="C26:N26"/>
    <mergeCell ref="B10:N10"/>
    <mergeCell ref="C20:N20"/>
  </mergeCells>
  <printOptions horizontalCentered="1"/>
  <pageMargins left="0.3149606299212598" right="0.3149606299212598" top="0.3543307086614174" bottom="0.1574803149606299" header="0.3149606299212598" footer="0.1181102362204725"/>
  <pageSetup orientation="portrait" paperSize="9" scale="58"/>
  <drawing xmlns:r="http://schemas.openxmlformats.org/officeDocument/2006/relationships" r:id="rId1"/>
</worksheet>
</file>

<file path=xl/worksheets/sheet3.xml><?xml version="1.0" encoding="utf-8"?>
<worksheet xmlns="http://schemas.openxmlformats.org/spreadsheetml/2006/main">
  <sheetPr>
    <tabColor theme="6"/>
    <outlinePr summaryBelow="1" summaryRight="1"/>
    <pageSetUpPr/>
  </sheetPr>
  <dimension ref="B1:X371"/>
  <sheetViews>
    <sheetView showGridLines="0" zoomScale="90" zoomScaleNormal="90" workbookViewId="0">
      <selection activeCell="K49" sqref="K49:R55"/>
    </sheetView>
  </sheetViews>
  <sheetFormatPr baseColWidth="8" defaultRowHeight="14"/>
  <cols>
    <col width="2.33203125" customWidth="1" min="1" max="1"/>
    <col width="8.75" customWidth="1" min="10" max="11"/>
    <col width="21" customWidth="1" min="18" max="18"/>
  </cols>
  <sheetData>
    <row r="1" ht="14.5" customHeight="1" thickBot="1">
      <c r="J1" s="42" t="n"/>
      <c r="K1" s="42" t="n"/>
      <c r="L1" s="42" t="n"/>
      <c r="M1" s="42" t="n"/>
      <c r="N1" s="42" t="n"/>
      <c r="O1" s="42" t="n"/>
      <c r="P1" s="42" t="n"/>
      <c r="Q1" s="42" t="n"/>
      <c r="R1" s="42" t="n"/>
    </row>
    <row r="2" ht="17.25" customHeight="1" thickTop="1">
      <c r="B2" s="35" t="n"/>
      <c r="C2" s="36" t="n"/>
      <c r="D2" s="37" t="n"/>
      <c r="E2" s="38" t="n"/>
      <c r="F2" s="39" t="n"/>
      <c r="G2" s="39" t="n"/>
      <c r="H2" s="40" t="n"/>
      <c r="I2" s="39" t="n"/>
      <c r="J2" s="1" t="n"/>
    </row>
    <row r="3" ht="28" customHeight="1">
      <c r="B3" s="338" t="inlineStr">
        <is>
          <t>Business Plan</t>
        </is>
      </c>
    </row>
    <row r="4" ht="28" customHeight="1">
      <c r="B4" s="338" t="n"/>
      <c r="D4" s="297" t="inlineStr">
        <is>
          <t>Name:</t>
        </is>
      </c>
      <c r="E4" s="435" t="inlineStr">
        <is>
          <t>Harsha Dandi</t>
        </is>
      </c>
      <c r="F4" s="914" t="n"/>
      <c r="G4" s="914" t="n"/>
      <c r="H4" s="914" t="n"/>
      <c r="I4" s="914" t="n"/>
      <c r="J4" s="914" t="n"/>
      <c r="K4" s="914" t="n"/>
      <c r="L4" s="914" t="n"/>
    </row>
    <row r="5" ht="28" customHeight="1">
      <c r="B5" s="338" t="n"/>
      <c r="D5" s="297" t="inlineStr">
        <is>
          <t>Company Name:</t>
        </is>
      </c>
      <c r="E5" s="435" t="inlineStr">
        <is>
          <t>SOLUM</t>
        </is>
      </c>
      <c r="F5" s="914" t="n"/>
      <c r="G5" s="914" t="n"/>
      <c r="H5" s="914" t="n"/>
      <c r="I5" s="914" t="n"/>
      <c r="J5" s="914" t="n"/>
      <c r="K5" s="914" t="n"/>
      <c r="L5" s="914" t="n"/>
    </row>
    <row r="6" ht="28.5" customHeight="1" thickBot="1">
      <c r="B6" s="338" t="n"/>
    </row>
    <row r="7" ht="27.75" customHeight="1">
      <c r="B7" s="920" t="inlineStr">
        <is>
          <t>Your Business Plan (BP) should detail your blueprint for how your business will operate. Your Business Plan is designed to help us determine whether or not your Business is viable and can sustainably produce sufficient profits to maintain your monthly Start Up Loan repayments.</t>
        </is>
      </c>
      <c r="C7" s="921" t="n"/>
      <c r="D7" s="921" t="n"/>
      <c r="E7" s="921" t="n"/>
      <c r="F7" s="921" t="n"/>
      <c r="G7" s="921" t="n"/>
      <c r="H7" s="921" t="n"/>
      <c r="I7" s="921" t="n"/>
      <c r="J7" s="921" t="n"/>
      <c r="K7" s="921" t="n"/>
      <c r="L7" s="921" t="n"/>
      <c r="M7" s="921" t="n"/>
      <c r="N7" s="921" t="n"/>
      <c r="O7" s="921" t="n"/>
      <c r="P7" s="921" t="n"/>
      <c r="Q7" s="921" t="n"/>
      <c r="R7" s="922" t="n"/>
    </row>
    <row r="8" ht="27.75" customHeight="1">
      <c r="B8" s="923" t="n"/>
      <c r="R8" s="924" t="n"/>
    </row>
    <row r="9" ht="15" customHeight="1">
      <c r="B9" s="925" t="inlineStr">
        <is>
          <t xml:space="preserve"> - The content in the Business Plan below is the minimum requirement for completing the business viability part of your application;</t>
        </is>
      </c>
      <c r="R9" s="924" t="n"/>
    </row>
    <row r="10" ht="15" customHeight="1">
      <c r="B10" s="925" t="inlineStr">
        <is>
          <t xml:space="preserve"> - Please complete each field using the questions, prompts and examples as a guideline for the detail that we require;</t>
        </is>
      </c>
      <c r="R10" s="924" t="n"/>
    </row>
    <row r="11">
      <c r="B11" s="926" t="inlineStr">
        <is>
          <t xml:space="preserve"> - The closer you can follow the guidelines to complete the BP, the more likely you are to provide your assigned Business Support Partner with the information they need to make a decision;</t>
        </is>
      </c>
      <c r="R11" s="924" t="n"/>
    </row>
    <row r="12" ht="15" customHeight="1">
      <c r="B12" s="925" t="inlineStr">
        <is>
          <t xml:space="preserve"> - In some instances, more information may be required. If this is the case, your Business Adviser will inform you of what further information is needed;</t>
        </is>
      </c>
      <c r="R12" s="924" t="n"/>
    </row>
    <row r="13" ht="24" customHeight="1" thickBot="1">
      <c r="B13" s="927" t="inlineStr">
        <is>
          <t xml:space="preserve"> - Please note, your BP can be a first draft, it doesn't have to be perfect. If you need more help, submit what you can and your Business Support Partner will be in touch;</t>
        </is>
      </c>
      <c r="C13" s="928" t="n"/>
      <c r="D13" s="928" t="n"/>
      <c r="E13" s="928" t="n"/>
      <c r="F13" s="928" t="n"/>
      <c r="G13" s="928" t="n"/>
      <c r="H13" s="928" t="n"/>
      <c r="I13" s="928" t="n"/>
      <c r="J13" s="928" t="n"/>
      <c r="K13" s="928" t="n"/>
      <c r="L13" s="928" t="n"/>
      <c r="M13" s="928" t="n"/>
      <c r="N13" s="928" t="n"/>
      <c r="O13" s="928" t="n"/>
      <c r="P13" s="928" t="n"/>
      <c r="Q13" s="928" t="n"/>
      <c r="R13" s="929" t="n"/>
    </row>
    <row r="14" ht="14.5" customHeight="1" thickBot="1">
      <c r="B14" s="784" t="n"/>
      <c r="C14" s="784" t="n"/>
      <c r="D14" s="784" t="n"/>
      <c r="E14" s="784" t="n"/>
      <c r="F14" s="784" t="n"/>
      <c r="G14" s="784" t="n"/>
      <c r="H14" s="784" t="n"/>
      <c r="I14" s="784" t="n"/>
      <c r="J14" s="784" t="n"/>
      <c r="K14" s="784" t="n"/>
      <c r="L14" s="784" t="n"/>
      <c r="M14" s="784" t="n"/>
    </row>
    <row r="15" ht="15" customHeight="1">
      <c r="B15" s="930" t="inlineStr">
        <is>
          <t>1. Your business and objectives</t>
        </is>
      </c>
      <c r="C15" s="921" t="n"/>
      <c r="D15" s="921" t="n"/>
      <c r="E15" s="921" t="n"/>
      <c r="F15" s="921" t="n"/>
      <c r="G15" s="921" t="n"/>
      <c r="H15" s="921" t="n"/>
      <c r="I15" s="921" t="n"/>
      <c r="J15" s="922" t="n"/>
      <c r="K15" s="931" t="inlineStr">
        <is>
          <t>Guidance</t>
        </is>
      </c>
      <c r="L15" s="921" t="n"/>
      <c r="M15" s="921" t="n"/>
      <c r="N15" s="921" t="n"/>
      <c r="O15" s="921" t="n"/>
      <c r="P15" s="921" t="n"/>
      <c r="Q15" s="921" t="n"/>
      <c r="R15" s="922" t="n"/>
      <c r="S15" s="339" t="n"/>
      <c r="T15" s="339" t="n"/>
      <c r="U15" s="339" t="n"/>
      <c r="V15" s="339" t="n"/>
      <c r="W15" s="339" t="n"/>
      <c r="X15" s="339" t="n"/>
    </row>
    <row r="16" ht="15" customHeight="1">
      <c r="B16" s="923" t="n"/>
      <c r="J16" s="924" t="n"/>
      <c r="K16" s="923" t="n"/>
      <c r="R16" s="924" t="n"/>
      <c r="S16" s="339" t="n"/>
      <c r="T16" s="339" t="n"/>
      <c r="U16" s="339" t="n"/>
      <c r="V16" s="339" t="n"/>
      <c r="W16" s="339" t="n"/>
      <c r="X16" s="339" t="n"/>
    </row>
    <row r="17" ht="15" customHeight="1" thickBot="1">
      <c r="B17" s="932" t="n"/>
      <c r="C17" s="928" t="n"/>
      <c r="D17" s="928" t="n"/>
      <c r="E17" s="928" t="n"/>
      <c r="F17" s="928" t="n"/>
      <c r="G17" s="928" t="n"/>
      <c r="H17" s="928" t="n"/>
      <c r="I17" s="928" t="n"/>
      <c r="J17" s="929" t="n"/>
      <c r="K17" s="932" t="n"/>
      <c r="L17" s="928" t="n"/>
      <c r="M17" s="928" t="n"/>
      <c r="N17" s="928" t="n"/>
      <c r="O17" s="928" t="n"/>
      <c r="P17" s="928" t="n"/>
      <c r="Q17" s="928" t="n"/>
      <c r="R17" s="929" t="n"/>
      <c r="S17" s="339" t="n"/>
      <c r="T17" s="339" t="n"/>
      <c r="U17" s="339" t="n"/>
      <c r="V17" s="339" t="n"/>
      <c r="W17" s="339" t="n"/>
      <c r="X17" s="339" t="n"/>
    </row>
    <row r="18" ht="30" customHeight="1" thickBot="1">
      <c r="B18" s="933" t="inlineStr">
        <is>
          <t>Describe your business, outlining the different product(s) and/or service(s) you offer:</t>
        </is>
      </c>
      <c r="C18" s="921" t="n"/>
      <c r="D18" s="921" t="n"/>
      <c r="E18" s="921" t="n"/>
      <c r="F18" s="921" t="n"/>
      <c r="G18" s="921" t="n"/>
      <c r="H18" s="921" t="n"/>
      <c r="I18" s="921" t="n"/>
      <c r="J18" s="922" t="n"/>
      <c r="K18" s="934" t="n"/>
      <c r="L18" s="921" t="n"/>
      <c r="M18" s="921" t="n"/>
      <c r="N18" s="921" t="n"/>
      <c r="O18" s="921" t="n"/>
      <c r="P18" s="921" t="n"/>
      <c r="Q18" s="921" t="n"/>
      <c r="R18" s="922" t="n"/>
    </row>
    <row r="19">
      <c r="B19" s="935" t="inlineStr">
        <is>
          <t>SOLUM is a men's premium body care brand selling structured shower ritual kits direct-to-consumer at bysolum.co.uk. Currently sole trader (LTD registration pending). Founder owns 100% of business. Not yet trading — Start Up Loan funds first inventory order.
Products: 8 SKUs in a Daily Ritual (10 min) and Weekly Deep Ritual (22 min). Includes: sulphate-free amino acid body wash (UK, Cosmiko), exfoliating mitt + back cloth (Korean tradition, China manufacture), silicone scalp massager (South Korea), rhassoul clay mask + organic argan oil (Morocco), fast-absorb body lotion (UK, Cosmiko), artisan Kese mitt (Turkey).
Kit tiers: GROUND (products 01,02,03,04,07) £65 first box / £38 monthly refill. RITUAL (all 7 products) £85 / £48. SOVEREIGN (all 10) £130 / £58 — coming soon.
Business model: customer buys first kit (tools last 6-12 months), then subscribes to monthly consumable refills. CAC £28, LTV at 14 months £428 GP, LTV:CAC 15.3x. Monthly churn 7%. Home-based. Royal Mail Tracked 48.
Key milestones: brand identity locked, website live at bysolum.co.uk, full product lineup confirmed, supplier briefs sent to Cosmiko UK, COOLFIN A Korea, Moroccan suppliers, labels + ritual card designed, CPSR compliance plan confirmed. 180 people on pre-launch waitlist — demand validated before first sale.</t>
        </is>
      </c>
      <c r="C19" s="936" t="n"/>
      <c r="D19" s="936" t="n"/>
      <c r="E19" s="936" t="n"/>
      <c r="F19" s="936" t="n"/>
      <c r="G19" s="936" t="n"/>
      <c r="H19" s="936" t="n"/>
      <c r="I19" s="936" t="n"/>
      <c r="J19" s="937" t="n"/>
      <c r="K19" s="938" t="inlineStr">
        <is>
          <t>Things to consider:
- What products do you sell or what services do you provide?
- What percentage of the company do you own?
- Is the business already trading?
- Trading Entity (Limited company, sole trader or partnership etc.)
- Operational structure of business including any planned changes - for example do you have staff? if so, how many?
- Will/do you have Commercial Premises or is this a home based business?
- If commercial premises, please provide a head of terms, lease or storage agreement 
- Business performance (financially) to date if you have started trading
- Key Milestones achieved (for example you have created a website)
- If you have purchase orders, please provide evidence and the value of these purchase orders.</t>
        </is>
      </c>
      <c r="L19" s="921" t="n"/>
      <c r="M19" s="921" t="n"/>
      <c r="N19" s="921" t="n"/>
      <c r="O19" s="921" t="n"/>
      <c r="P19" s="921" t="n"/>
      <c r="Q19" s="921" t="n"/>
      <c r="R19" s="922" t="n"/>
    </row>
    <row r="20">
      <c r="B20" s="939" t="n"/>
      <c r="C20" s="914" t="n"/>
      <c r="D20" s="914" t="n"/>
      <c r="E20" s="914" t="n"/>
      <c r="F20" s="914" t="n"/>
      <c r="G20" s="914" t="n"/>
      <c r="H20" s="914" t="n"/>
      <c r="I20" s="914" t="n"/>
      <c r="J20" s="940" t="n"/>
      <c r="K20" s="923" t="n"/>
      <c r="R20" s="924" t="n"/>
    </row>
    <row r="21">
      <c r="B21" s="939" t="n"/>
      <c r="C21" s="914" t="n"/>
      <c r="D21" s="914" t="n"/>
      <c r="E21" s="914" t="n"/>
      <c r="F21" s="914" t="n"/>
      <c r="G21" s="914" t="n"/>
      <c r="H21" s="914" t="n"/>
      <c r="I21" s="914" t="n"/>
      <c r="J21" s="940" t="n"/>
      <c r="K21" s="923" t="n"/>
      <c r="R21" s="924" t="n"/>
    </row>
    <row r="22">
      <c r="B22" s="939" t="n"/>
      <c r="C22" s="914" t="n"/>
      <c r="D22" s="914" t="n"/>
      <c r="E22" s="914" t="n"/>
      <c r="F22" s="914" t="n"/>
      <c r="G22" s="914" t="n"/>
      <c r="H22" s="914" t="n"/>
      <c r="I22" s="914" t="n"/>
      <c r="J22" s="940" t="n"/>
      <c r="K22" s="923" t="n"/>
      <c r="R22" s="924" t="n"/>
    </row>
    <row r="23">
      <c r="B23" s="939" t="n"/>
      <c r="C23" s="914" t="n"/>
      <c r="D23" s="914" t="n"/>
      <c r="E23" s="914" t="n"/>
      <c r="F23" s="914" t="n"/>
      <c r="G23" s="914" t="n"/>
      <c r="H23" s="914" t="n"/>
      <c r="I23" s="914" t="n"/>
      <c r="J23" s="940" t="n"/>
      <c r="K23" s="923" t="n"/>
      <c r="R23" s="924" t="n"/>
    </row>
    <row r="24">
      <c r="B24" s="939" t="n"/>
      <c r="C24" s="914" t="n"/>
      <c r="D24" s="914" t="n"/>
      <c r="E24" s="914" t="n"/>
      <c r="F24" s="914" t="n"/>
      <c r="G24" s="914" t="n"/>
      <c r="H24" s="914" t="n"/>
      <c r="I24" s="914" t="n"/>
      <c r="J24" s="940" t="n"/>
      <c r="K24" s="923" t="n"/>
      <c r="R24" s="924" t="n"/>
    </row>
    <row r="25">
      <c r="B25" s="939" t="n"/>
      <c r="C25" s="914" t="n"/>
      <c r="D25" s="914" t="n"/>
      <c r="E25" s="914" t="n"/>
      <c r="F25" s="914" t="n"/>
      <c r="G25" s="914" t="n"/>
      <c r="H25" s="914" t="n"/>
      <c r="I25" s="914" t="n"/>
      <c r="J25" s="940" t="n"/>
      <c r="K25" s="923" t="n"/>
      <c r="R25" s="924" t="n"/>
    </row>
    <row r="26">
      <c r="B26" s="939" t="n"/>
      <c r="C26" s="914" t="n"/>
      <c r="D26" s="914" t="n"/>
      <c r="E26" s="914" t="n"/>
      <c r="F26" s="914" t="n"/>
      <c r="G26" s="914" t="n"/>
      <c r="H26" s="914" t="n"/>
      <c r="I26" s="914" t="n"/>
      <c r="J26" s="940" t="n"/>
      <c r="K26" s="923" t="n"/>
      <c r="R26" s="924" t="n"/>
    </row>
    <row r="27">
      <c r="B27" s="939" t="n"/>
      <c r="C27" s="914" t="n"/>
      <c r="D27" s="914" t="n"/>
      <c r="E27" s="914" t="n"/>
      <c r="F27" s="914" t="n"/>
      <c r="G27" s="914" t="n"/>
      <c r="H27" s="914" t="n"/>
      <c r="I27" s="914" t="n"/>
      <c r="J27" s="940" t="n"/>
      <c r="K27" s="923" t="n"/>
      <c r="R27" s="924" t="n"/>
    </row>
    <row r="28">
      <c r="B28" s="939" t="n"/>
      <c r="C28" s="914" t="n"/>
      <c r="D28" s="914" t="n"/>
      <c r="E28" s="914" t="n"/>
      <c r="F28" s="914" t="n"/>
      <c r="G28" s="914" t="n"/>
      <c r="H28" s="914" t="n"/>
      <c r="I28" s="914" t="n"/>
      <c r="J28" s="940" t="n"/>
      <c r="K28" s="923" t="n"/>
      <c r="R28" s="924" t="n"/>
    </row>
    <row r="29">
      <c r="B29" s="939" t="n"/>
      <c r="C29" s="914" t="n"/>
      <c r="D29" s="914" t="n"/>
      <c r="E29" s="914" t="n"/>
      <c r="F29" s="914" t="n"/>
      <c r="G29" s="914" t="n"/>
      <c r="H29" s="914" t="n"/>
      <c r="I29" s="914" t="n"/>
      <c r="J29" s="940" t="n"/>
      <c r="K29" s="923" t="n"/>
      <c r="R29" s="924" t="n"/>
    </row>
    <row r="30">
      <c r="B30" s="939" t="n"/>
      <c r="C30" s="914" t="n"/>
      <c r="D30" s="914" t="n"/>
      <c r="E30" s="914" t="n"/>
      <c r="F30" s="914" t="n"/>
      <c r="G30" s="914" t="n"/>
      <c r="H30" s="914" t="n"/>
      <c r="I30" s="914" t="n"/>
      <c r="J30" s="940" t="n"/>
      <c r="K30" s="923" t="n"/>
      <c r="R30" s="924" t="n"/>
    </row>
    <row r="31">
      <c r="B31" s="939" t="n"/>
      <c r="C31" s="914" t="n"/>
      <c r="D31" s="914" t="n"/>
      <c r="E31" s="914" t="n"/>
      <c r="F31" s="914" t="n"/>
      <c r="G31" s="914" t="n"/>
      <c r="H31" s="914" t="n"/>
      <c r="I31" s="914" t="n"/>
      <c r="J31" s="940" t="n"/>
      <c r="K31" s="923" t="n"/>
      <c r="R31" s="924" t="n"/>
    </row>
    <row r="32">
      <c r="B32" s="939" t="n"/>
      <c r="C32" s="914" t="n"/>
      <c r="D32" s="914" t="n"/>
      <c r="E32" s="914" t="n"/>
      <c r="F32" s="914" t="n"/>
      <c r="G32" s="914" t="n"/>
      <c r="H32" s="914" t="n"/>
      <c r="I32" s="914" t="n"/>
      <c r="J32" s="940" t="n"/>
      <c r="K32" s="923" t="n"/>
      <c r="R32" s="924" t="n"/>
    </row>
    <row r="33">
      <c r="B33" s="939" t="n"/>
      <c r="C33" s="914" t="n"/>
      <c r="D33" s="914" t="n"/>
      <c r="E33" s="914" t="n"/>
      <c r="F33" s="914" t="n"/>
      <c r="G33" s="914" t="n"/>
      <c r="H33" s="914" t="n"/>
      <c r="I33" s="914" t="n"/>
      <c r="J33" s="940" t="n"/>
      <c r="K33" s="923" t="n"/>
      <c r="R33" s="924" t="n"/>
    </row>
    <row r="34">
      <c r="B34" s="939" t="n"/>
      <c r="C34" s="914" t="n"/>
      <c r="D34" s="914" t="n"/>
      <c r="E34" s="914" t="n"/>
      <c r="F34" s="914" t="n"/>
      <c r="G34" s="914" t="n"/>
      <c r="H34" s="914" t="n"/>
      <c r="I34" s="914" t="n"/>
      <c r="J34" s="940" t="n"/>
      <c r="K34" s="923" t="n"/>
      <c r="R34" s="924" t="n"/>
    </row>
    <row r="35">
      <c r="B35" s="939" t="n"/>
      <c r="C35" s="914" t="n"/>
      <c r="D35" s="914" t="n"/>
      <c r="E35" s="914" t="n"/>
      <c r="F35" s="914" t="n"/>
      <c r="G35" s="914" t="n"/>
      <c r="H35" s="914" t="n"/>
      <c r="I35" s="914" t="n"/>
      <c r="J35" s="940" t="n"/>
      <c r="K35" s="923" t="n"/>
      <c r="R35" s="924" t="n"/>
    </row>
    <row r="36">
      <c r="B36" s="939" t="n"/>
      <c r="C36" s="914" t="n"/>
      <c r="D36" s="914" t="n"/>
      <c r="E36" s="914" t="n"/>
      <c r="F36" s="914" t="n"/>
      <c r="G36" s="914" t="n"/>
      <c r="H36" s="914" t="n"/>
      <c r="I36" s="914" t="n"/>
      <c r="J36" s="940" t="n"/>
      <c r="K36" s="923" t="n"/>
      <c r="R36" s="924" t="n"/>
    </row>
    <row r="37" ht="14.5" customHeight="1" thickBot="1">
      <c r="B37" s="941" t="n"/>
      <c r="C37" s="942" t="n"/>
      <c r="D37" s="942" t="n"/>
      <c r="E37" s="942" t="n"/>
      <c r="F37" s="942" t="n"/>
      <c r="G37" s="942" t="n"/>
      <c r="H37" s="942" t="n"/>
      <c r="I37" s="942" t="n"/>
      <c r="J37" s="943" t="n"/>
      <c r="K37" s="932" t="n"/>
      <c r="L37" s="928" t="n"/>
      <c r="M37" s="928" t="n"/>
      <c r="N37" s="928" t="n"/>
      <c r="O37" s="928" t="n"/>
      <c r="P37" s="928" t="n"/>
      <c r="Q37" s="928" t="n"/>
      <c r="R37" s="929" t="n"/>
    </row>
    <row r="38">
      <c r="B38" s="944" t="inlineStr">
        <is>
          <t>Objectives:</t>
        </is>
      </c>
      <c r="C38" s="921" t="n"/>
      <c r="D38" s="921" t="n"/>
      <c r="E38" s="921" t="n"/>
      <c r="F38" s="921" t="n"/>
      <c r="G38" s="921" t="n"/>
      <c r="H38" s="921" t="n"/>
      <c r="I38" s="921" t="n"/>
      <c r="J38" s="922" t="n"/>
      <c r="K38" s="945" t="n"/>
      <c r="L38" s="921" t="n"/>
      <c r="M38" s="921" t="n"/>
      <c r="N38" s="921" t="n"/>
      <c r="O38" s="921" t="n"/>
      <c r="P38" s="921" t="n"/>
      <c r="Q38" s="921" t="n"/>
      <c r="R38" s="922" t="n"/>
    </row>
    <row r="39">
      <c r="B39" s="923" t="n"/>
      <c r="J39" s="924" t="n"/>
      <c r="K39" s="923" t="n"/>
      <c r="R39" s="924" t="n"/>
    </row>
    <row r="40" ht="30" customHeight="1" thickBot="1">
      <c r="B40" s="946" t="inlineStr">
        <is>
          <t>Short term (current year):</t>
        </is>
      </c>
      <c r="C40" s="928" t="n"/>
      <c r="D40" s="928" t="n"/>
      <c r="E40" s="928" t="n"/>
      <c r="F40" s="928" t="n"/>
      <c r="G40" s="928" t="n"/>
      <c r="H40" s="928" t="n"/>
      <c r="I40" s="928" t="n"/>
      <c r="J40" s="929" t="n"/>
      <c r="K40" s="947" t="n"/>
      <c r="L40" s="928" t="n"/>
      <c r="M40" s="928" t="n"/>
      <c r="N40" s="928" t="n"/>
      <c r="O40" s="928" t="n"/>
      <c r="P40" s="928" t="n"/>
      <c r="Q40" s="928" t="n"/>
      <c r="R40" s="929" t="n"/>
    </row>
    <row r="41" ht="20.15" customHeight="1">
      <c r="B41" s="935" t="inlineStr">
        <is>
          <t>1. Complete first inventory order (250 kits) and receive stock by July 2026. Total outlay: £6,930 (COGS £6,130 + packaging £800).
2. Launch bysolum.co.uk to paying customers June/July 2026 — first sale by 30 June 2026.
3. Convert 180-person waitlist — acquire 50 active subscribers by 30 Sep 2026, generating £1,900/month recurring revenue.
4. Complete CPSR compliance for all 4 cosmetic products (01,05,06,07) and submit SCPN notification via UK Submit by 31 July 2026.</t>
        </is>
      </c>
      <c r="C41" s="936" t="n"/>
      <c r="D41" s="936" t="n"/>
      <c r="E41" s="936" t="n"/>
      <c r="F41" s="936" t="n"/>
      <c r="G41" s="936" t="n"/>
      <c r="H41" s="936" t="n"/>
      <c r="I41" s="936" t="n"/>
      <c r="J41" s="937" t="n"/>
      <c r="K41" s="938" t="inlineStr">
        <is>
          <t>Objectives should be SMART: Specific, Measurable, Attainable, Realistic and Time bound
Examples:
Develop a website that is transaction based so customers can place orders by 01/011/2021
Create a customer relationship management framework by 01/12/2021
Reduce direct costs by 20% negotiating a better deal with suppliers based on higher purchase volumes by 01/12/2021</t>
        </is>
      </c>
      <c r="L41" s="921" t="n"/>
      <c r="M41" s="921" t="n"/>
      <c r="N41" s="921" t="n"/>
      <c r="O41" s="921" t="n"/>
      <c r="P41" s="921" t="n"/>
      <c r="Q41" s="921" t="n"/>
      <c r="R41" s="922" t="n"/>
    </row>
    <row r="42" ht="20.15" customHeight="1">
      <c r="B42" s="939" t="n"/>
      <c r="C42" s="914" t="n"/>
      <c r="D42" s="914" t="n"/>
      <c r="E42" s="914" t="n"/>
      <c r="F42" s="914" t="n"/>
      <c r="G42" s="914" t="n"/>
      <c r="H42" s="914" t="n"/>
      <c r="I42" s="914" t="n"/>
      <c r="J42" s="940" t="n"/>
      <c r="K42" s="923" t="n"/>
      <c r="R42" s="924" t="n"/>
    </row>
    <row r="43" ht="20.15" customHeight="1">
      <c r="B43" s="939" t="n"/>
      <c r="C43" s="914" t="n"/>
      <c r="D43" s="914" t="n"/>
      <c r="E43" s="914" t="n"/>
      <c r="F43" s="914" t="n"/>
      <c r="G43" s="914" t="n"/>
      <c r="H43" s="914" t="n"/>
      <c r="I43" s="914" t="n"/>
      <c r="J43" s="940" t="n"/>
      <c r="K43" s="923" t="n"/>
      <c r="R43" s="924" t="n"/>
    </row>
    <row r="44" ht="20.15" customHeight="1">
      <c r="B44" s="939" t="n"/>
      <c r="C44" s="914" t="n"/>
      <c r="D44" s="914" t="n"/>
      <c r="E44" s="914" t="n"/>
      <c r="F44" s="914" t="n"/>
      <c r="G44" s="914" t="n"/>
      <c r="H44" s="914" t="n"/>
      <c r="I44" s="914" t="n"/>
      <c r="J44" s="940" t="n"/>
      <c r="K44" s="923" t="n"/>
      <c r="R44" s="924" t="n"/>
    </row>
    <row r="45" ht="20.15" customHeight="1">
      <c r="B45" s="939" t="n"/>
      <c r="C45" s="914" t="n"/>
      <c r="D45" s="914" t="n"/>
      <c r="E45" s="914" t="n"/>
      <c r="F45" s="914" t="n"/>
      <c r="G45" s="914" t="n"/>
      <c r="H45" s="914" t="n"/>
      <c r="I45" s="914" t="n"/>
      <c r="J45" s="940" t="n"/>
      <c r="K45" s="923" t="n"/>
      <c r="R45" s="924" t="n"/>
    </row>
    <row r="46" ht="20.15" customHeight="1">
      <c r="B46" s="939" t="n"/>
      <c r="C46" s="914" t="n"/>
      <c r="D46" s="914" t="n"/>
      <c r="E46" s="914" t="n"/>
      <c r="F46" s="914" t="n"/>
      <c r="G46" s="914" t="n"/>
      <c r="H46" s="914" t="n"/>
      <c r="I46" s="914" t="n"/>
      <c r="J46" s="940" t="n"/>
      <c r="K46" s="923" t="n"/>
      <c r="R46" s="924" t="n"/>
    </row>
    <row r="47" ht="20.15" customHeight="1" thickBot="1">
      <c r="B47" s="941" t="n"/>
      <c r="C47" s="942" t="n"/>
      <c r="D47" s="942" t="n"/>
      <c r="E47" s="942" t="n"/>
      <c r="F47" s="942" t="n"/>
      <c r="G47" s="942" t="n"/>
      <c r="H47" s="942" t="n"/>
      <c r="I47" s="942" t="n"/>
      <c r="J47" s="943" t="n"/>
      <c r="K47" s="932" t="n"/>
      <c r="L47" s="928" t="n"/>
      <c r="M47" s="928" t="n"/>
      <c r="N47" s="928" t="n"/>
      <c r="O47" s="928" t="n"/>
      <c r="P47" s="928" t="n"/>
      <c r="Q47" s="928" t="n"/>
      <c r="R47" s="929" t="n"/>
    </row>
    <row r="48" ht="30" customHeight="1" thickBot="1">
      <c r="B48" s="948" t="inlineStr">
        <is>
          <t>Medium term (next 1 – 2 years):</t>
        </is>
      </c>
      <c r="C48" s="949" t="n"/>
      <c r="D48" s="949" t="n"/>
      <c r="E48" s="949" t="n"/>
      <c r="F48" s="949" t="n"/>
      <c r="G48" s="949" t="n"/>
      <c r="H48" s="949" t="n"/>
      <c r="I48" s="949" t="n"/>
      <c r="J48" s="950" t="n"/>
      <c r="K48" s="951" t="n"/>
      <c r="L48" s="949" t="n"/>
      <c r="M48" s="949" t="n"/>
      <c r="N48" s="949" t="n"/>
      <c r="O48" s="949" t="n"/>
      <c r="P48" s="949" t="n"/>
      <c r="Q48" s="949" t="n"/>
      <c r="R48" s="950" t="n"/>
    </row>
    <row r="49" ht="20.15" customHeight="1">
      <c r="B49" s="935" t="inlineStr">
        <is>
          <t>1. Reach 405 active subscribers by May 2027 (12 months trading), generating £17,010/month MRR — in line with conservative Year 1 projections.
2. Scale total revenue to £324,000+ in Year 2 (2027) — 60% annual growth on new customer acquisition.
3. Launch SOVEREIGN tier (products 09+10: Turkish Kese mitt and Black Soap) by Q2 2027.
4. Reduce effective CAC to under £25 by Q2 2027 through organic Instagram content driving 35%+ of new customers without paid spend.</t>
        </is>
      </c>
      <c r="C49" s="936" t="n"/>
      <c r="D49" s="936" t="n"/>
      <c r="E49" s="936" t="n"/>
      <c r="F49" s="936" t="n"/>
      <c r="G49" s="936" t="n"/>
      <c r="H49" s="936" t="n"/>
      <c r="I49" s="936" t="n"/>
      <c r="J49" s="937" t="n"/>
      <c r="K49" s="938" t="inlineStr">
        <is>
          <t>Objectives should be SMART: Specific, Measurable, Attainable, Realistic and Time bound
Examples:  
Increase revenue by 5% each of the next 4 quarters
Use suggestive selling to increase the total value of each sale by 10 percent by the end of the current fiscal year.
Send a service quality survey to every customer within 30 days of their first contact.</t>
        </is>
      </c>
      <c r="L49" s="921" t="n"/>
      <c r="M49" s="921" t="n"/>
      <c r="N49" s="921" t="n"/>
      <c r="O49" s="921" t="n"/>
      <c r="P49" s="921" t="n"/>
      <c r="Q49" s="921" t="n"/>
      <c r="R49" s="922" t="n"/>
    </row>
    <row r="50" ht="20.15" customHeight="1">
      <c r="B50" s="939" t="n"/>
      <c r="C50" s="914" t="n"/>
      <c r="D50" s="914" t="n"/>
      <c r="E50" s="914" t="n"/>
      <c r="F50" s="914" t="n"/>
      <c r="G50" s="914" t="n"/>
      <c r="H50" s="914" t="n"/>
      <c r="I50" s="914" t="n"/>
      <c r="J50" s="940" t="n"/>
      <c r="K50" s="923" t="n"/>
      <c r="R50" s="924" t="n"/>
    </row>
    <row r="51" ht="20.15" customHeight="1">
      <c r="B51" s="939" t="n"/>
      <c r="C51" s="914" t="n"/>
      <c r="D51" s="914" t="n"/>
      <c r="E51" s="914" t="n"/>
      <c r="F51" s="914" t="n"/>
      <c r="G51" s="914" t="n"/>
      <c r="H51" s="914" t="n"/>
      <c r="I51" s="914" t="n"/>
      <c r="J51" s="940" t="n"/>
      <c r="K51" s="923" t="n"/>
      <c r="R51" s="924" t="n"/>
    </row>
    <row r="52" ht="20.15" customHeight="1">
      <c r="B52" s="939" t="n"/>
      <c r="C52" s="914" t="n"/>
      <c r="D52" s="914" t="n"/>
      <c r="E52" s="914" t="n"/>
      <c r="F52" s="914" t="n"/>
      <c r="G52" s="914" t="n"/>
      <c r="H52" s="914" t="n"/>
      <c r="I52" s="914" t="n"/>
      <c r="J52" s="940" t="n"/>
      <c r="K52" s="923" t="n"/>
      <c r="R52" s="924" t="n"/>
    </row>
    <row r="53" ht="20.15" customHeight="1">
      <c r="B53" s="939" t="n"/>
      <c r="C53" s="914" t="n"/>
      <c r="D53" s="914" t="n"/>
      <c r="E53" s="914" t="n"/>
      <c r="F53" s="914" t="n"/>
      <c r="G53" s="914" t="n"/>
      <c r="H53" s="914" t="n"/>
      <c r="I53" s="914" t="n"/>
      <c r="J53" s="940" t="n"/>
      <c r="K53" s="923" t="n"/>
      <c r="R53" s="924" t="n"/>
    </row>
    <row r="54" ht="20.15" customHeight="1">
      <c r="B54" s="939" t="n"/>
      <c r="C54" s="914" t="n"/>
      <c r="D54" s="914" t="n"/>
      <c r="E54" s="914" t="n"/>
      <c r="F54" s="914" t="n"/>
      <c r="G54" s="914" t="n"/>
      <c r="H54" s="914" t="n"/>
      <c r="I54" s="914" t="n"/>
      <c r="J54" s="940" t="n"/>
      <c r="K54" s="923" t="n"/>
      <c r="R54" s="924" t="n"/>
    </row>
    <row r="55" ht="20.15" customHeight="1" thickBot="1">
      <c r="B55" s="941" t="n"/>
      <c r="C55" s="942" t="n"/>
      <c r="D55" s="942" t="n"/>
      <c r="E55" s="942" t="n"/>
      <c r="F55" s="942" t="n"/>
      <c r="G55" s="942" t="n"/>
      <c r="H55" s="942" t="n"/>
      <c r="I55" s="942" t="n"/>
      <c r="J55" s="943" t="n"/>
      <c r="K55" s="932" t="n"/>
      <c r="L55" s="928" t="n"/>
      <c r="M55" s="928" t="n"/>
      <c r="N55" s="928" t="n"/>
      <c r="O55" s="928" t="n"/>
      <c r="P55" s="928" t="n"/>
      <c r="Q55" s="928" t="n"/>
      <c r="R55" s="929" t="n"/>
    </row>
    <row r="56">
      <c r="B56" s="944" t="inlineStr">
        <is>
          <t>Your Start Up Loan:</t>
        </is>
      </c>
      <c r="C56" s="921" t="n"/>
      <c r="D56" s="921" t="n"/>
      <c r="E56" s="921" t="n"/>
      <c r="F56" s="921" t="n"/>
      <c r="G56" s="921" t="n"/>
      <c r="H56" s="921" t="n"/>
      <c r="I56" s="921" t="n"/>
      <c r="J56" s="922" t="n"/>
      <c r="K56" s="945" t="n"/>
      <c r="L56" s="921" t="n"/>
      <c r="M56" s="921" t="n"/>
      <c r="N56" s="921" t="n"/>
      <c r="O56" s="921" t="n"/>
      <c r="P56" s="921" t="n"/>
      <c r="Q56" s="921" t="n"/>
      <c r="R56" s="922" t="n"/>
    </row>
    <row r="57">
      <c r="B57" s="923" t="n"/>
      <c r="J57" s="924" t="n"/>
      <c r="K57" s="923" t="n"/>
      <c r="R57" s="924" t="n"/>
    </row>
    <row r="58" ht="30" customHeight="1" thickBot="1">
      <c r="B58" s="952" t="inlineStr">
        <is>
          <t>Describe how you will use your Start Up Loan and how it will help you achieve these objectives:</t>
        </is>
      </c>
      <c r="J58" s="924" t="n"/>
      <c r="K58" s="947" t="n"/>
      <c r="L58" s="928" t="n"/>
      <c r="M58" s="928" t="n"/>
      <c r="N58" s="928" t="n"/>
      <c r="O58" s="928" t="n"/>
      <c r="P58" s="928" t="n"/>
      <c r="Q58" s="928" t="n"/>
      <c r="R58" s="929" t="n"/>
    </row>
    <row r="59" ht="21" customHeight="1" thickBot="1">
      <c r="B59" s="771" t="inlineStr">
        <is>
          <t>Cost Description</t>
        </is>
      </c>
      <c r="C59" s="936" t="n"/>
      <c r="D59" s="936" t="n"/>
      <c r="E59" s="328" t="inlineStr">
        <is>
          <t>Cost (£)</t>
        </is>
      </c>
      <c r="F59" s="773" t="inlineStr">
        <is>
          <t>Rationale</t>
        </is>
      </c>
      <c r="G59" s="936" t="n"/>
      <c r="H59" s="936" t="n"/>
      <c r="I59" s="936" t="n"/>
      <c r="J59" s="937" t="n"/>
      <c r="K59" s="938" t="inlineStr">
        <is>
          <t>Things to consider:
- Is all your expenditure needed at the outset? Please consider your total funding requirement over the first 12 month trading period
- Please could you provide a full and detailed loan breakdown? This needs to be very specific. Like a shopping list, please provide details of each item with a £ value alongside each item. The more specific and detailed you are, the more likely you will be successful. Please provide a brief description of why each item would be useful for the business. Please see some examples below.
- Equipment purchase £3000 total. £2000 for a large pressure washer and £1000 for a small pressure washer.
- Working capital - surplus of stock. For example, paying creditors
- The loan will be used as a Lease deposit
- Staff changes
- Change of premises
- The loan will be used to fulfil purchase orders</t>
        </is>
      </c>
      <c r="L59" s="921" t="n"/>
      <c r="M59" s="921" t="n"/>
      <c r="N59" s="921" t="n"/>
      <c r="O59" s="921" t="n"/>
      <c r="P59" s="921" t="n"/>
      <c r="Q59" s="921" t="n"/>
      <c r="R59" s="922" t="n"/>
    </row>
    <row r="60" ht="21" customHeight="1">
      <c r="B60" s="349" t="inlineStr">
        <is>
          <t>Cosmiko UK — Body Wash (Product 01) high-MOQ order</t>
        </is>
      </c>
      <c r="C60" s="953" t="n"/>
      <c r="D60" s="954" t="n"/>
      <c r="E60" s="349" t="n">
        <v>8000</v>
      </c>
      <c r="F60" s="349" t="inlineStr">
        <is>
          <t>~2,500 units at improved MOQ pricing (standard 250-unit price is £3.20/unit). Larger order unlocks Cosmiko volume discount. Covers 12+ months of body wash demand.</t>
        </is>
      </c>
      <c r="G60" s="953" t="n"/>
      <c r="H60" s="953" t="n"/>
      <c r="I60" s="953" t="n"/>
      <c r="J60" s="954" t="n"/>
      <c r="K60" s="923" t="n"/>
      <c r="R60" s="924" t="n"/>
    </row>
    <row r="61" ht="21" customHeight="1">
      <c r="B61" s="955" t="inlineStr">
        <is>
          <t>Cosmiko UK — Body Lotion (Product 07) high-MOQ order</t>
        </is>
      </c>
      <c r="C61" s="914" t="n"/>
      <c r="D61" s="940" t="n"/>
      <c r="E61" s="350" t="n">
        <v>8000</v>
      </c>
      <c r="F61" s="350" t="inlineStr">
        <is>
          <t>~1,800 units at improved pricing. Combined with body wash, unlocks best pricing tier. Lotion is in every kit and every monthly refill — highest reorder frequency product.</t>
        </is>
      </c>
      <c r="G61" s="956" t="n"/>
      <c r="H61" s="956" t="n"/>
      <c r="I61" s="956" t="n"/>
      <c r="J61" s="957" t="n"/>
      <c r="K61" s="923" t="n"/>
      <c r="R61" s="924" t="n"/>
    </row>
    <row r="62" ht="21" customHeight="1">
      <c r="B62" s="958" t="inlineStr">
        <is>
          <t>Morocco — Clay Mask (P05) + Argan Oil (P06)</t>
        </is>
      </c>
      <c r="C62" s="959" t="n"/>
      <c r="D62" s="960" t="n"/>
      <c r="E62" s="350" t="n">
        <v>4500</v>
      </c>
      <c r="F62" s="350" t="inlineStr">
        <is>
          <t>~500 units clay mask (£3.50/unit) + ~500 units argan oil (£5.50/unit). Fatima's Garden MOQ is only 12 — this order builds a 12+ month stock position.</t>
        </is>
      </c>
      <c r="G62" s="956" t="n"/>
      <c r="H62" s="956" t="n"/>
      <c r="I62" s="956" t="n"/>
      <c r="J62" s="957" t="n"/>
      <c r="K62" s="923" t="n"/>
      <c r="R62" s="924" t="n"/>
    </row>
    <row r="63" ht="21" customHeight="1">
      <c r="B63" s="958" t="inlineStr">
        <is>
          <t>Korea/China — Exfoliating Mitt (P02), Back Cloth (P03), Scalp Massager (P04)</t>
        </is>
      </c>
      <c r="C63" s="959" t="n"/>
      <c r="D63" s="960" t="n"/>
      <c r="E63" s="350" t="n">
        <v>2000</v>
      </c>
      <c r="F63" s="350" t="inlineStr">
        <is>
          <t>~500 units each. Mitt £0.42, back cloth £0.80, scalp massager £2.00. Tools in first kits only, not monthly refills — stock lasts longer.</t>
        </is>
      </c>
      <c r="G63" s="956" t="n"/>
      <c r="H63" s="956" t="n"/>
      <c r="I63" s="956" t="n"/>
      <c r="J63" s="957" t="n"/>
      <c r="K63" s="923" t="n"/>
      <c r="R63" s="924" t="n"/>
    </row>
    <row r="64" ht="21" customHeight="1">
      <c r="B64" s="958" t="inlineStr">
        <is>
          <t>Turkey — Kese Mitt (P09) — Jennifer's Hamam, artisan hand-woven</t>
        </is>
      </c>
      <c r="C64" s="959" t="n"/>
      <c r="D64" s="960" t="n"/>
      <c r="E64" s="350" t="n">
        <v>1500</v>
      </c>
      <c r="F64" s="350" t="inlineStr">
        <is>
          <t>~250-300 units at £4.50-£6.00/unit. MOQ 30-50. SOVEREIGN tier + premium upsell.</t>
        </is>
      </c>
      <c r="G64" s="956" t="n"/>
      <c r="H64" s="956" t="n"/>
      <c r="I64" s="956" t="n"/>
      <c r="J64" s="957" t="n"/>
      <c r="K64" s="923" t="n"/>
      <c r="R64" s="924" t="n"/>
    </row>
    <row r="65" ht="21" customHeight="1">
      <c r="B65" s="958" t="inlineStr">
        <is>
          <t>Packaging — first 500 kits (boxes, ritual cards, tissue, mailers)</t>
        </is>
      </c>
      <c r="C65" s="959" t="n"/>
      <c r="D65" s="960" t="n"/>
      <c r="E65" s="350" t="n">
        <v>1000</v>
      </c>
      <c r="F65" s="350" t="inlineStr">
        <is>
          <t>Matte black magnetic boxes, tissue, steel blue ribbon, 400gsm ritual cards, mailers.</t>
        </is>
      </c>
      <c r="G65" s="956" t="n"/>
      <c r="H65" s="956" t="n"/>
      <c r="I65" s="956" t="n"/>
      <c r="J65" s="957" t="n"/>
      <c r="K65" s="923" t="n"/>
      <c r="R65" s="924" t="n"/>
    </row>
    <row r="66" ht="21" customHeight="1">
      <c r="B66" s="958" t="n"/>
      <c r="C66" s="959" t="n"/>
      <c r="D66" s="960" t="n"/>
      <c r="E66" s="350" t="n"/>
      <c r="F66" s="350" t="n"/>
      <c r="G66" s="956" t="n"/>
      <c r="H66" s="956" t="n"/>
      <c r="I66" s="956" t="n"/>
      <c r="J66" s="957" t="n"/>
      <c r="K66" s="923" t="n"/>
      <c r="R66" s="924" t="n"/>
    </row>
    <row r="67" ht="21" customHeight="1">
      <c r="B67" s="958" t="n"/>
      <c r="C67" s="959" t="n"/>
      <c r="D67" s="960" t="n"/>
      <c r="E67" s="350" t="n"/>
      <c r="F67" s="350" t="n"/>
      <c r="G67" s="956" t="n"/>
      <c r="H67" s="956" t="n"/>
      <c r="I67" s="956" t="n"/>
      <c r="J67" s="957" t="n"/>
      <c r="K67" s="923" t="n"/>
      <c r="R67" s="924" t="n"/>
    </row>
    <row r="68" ht="21" customHeight="1">
      <c r="B68" s="958" t="n"/>
      <c r="C68" s="959" t="n"/>
      <c r="D68" s="960" t="n"/>
      <c r="E68" s="350" t="n"/>
      <c r="F68" s="350" t="n"/>
      <c r="G68" s="956" t="n"/>
      <c r="H68" s="956" t="n"/>
      <c r="I68" s="956" t="n"/>
      <c r="J68" s="957" t="n"/>
      <c r="K68" s="923" t="n"/>
      <c r="R68" s="924" t="n"/>
    </row>
    <row r="69" ht="21" customHeight="1">
      <c r="B69" s="350" t="n"/>
      <c r="C69" s="956" t="n"/>
      <c r="D69" s="957" t="n"/>
      <c r="E69" s="350" t="n"/>
      <c r="F69" s="350" t="n"/>
      <c r="G69" s="956" t="n"/>
      <c r="H69" s="956" t="n"/>
      <c r="I69" s="956" t="n"/>
      <c r="J69" s="957" t="n"/>
      <c r="K69" s="923" t="n"/>
      <c r="R69" s="924" t="n"/>
    </row>
    <row r="70" ht="21" customHeight="1">
      <c r="B70" s="350" t="n"/>
      <c r="C70" s="956" t="n"/>
      <c r="D70" s="957" t="n"/>
      <c r="E70" s="350" t="n"/>
      <c r="F70" s="350" t="n"/>
      <c r="G70" s="956" t="n"/>
      <c r="H70" s="956" t="n"/>
      <c r="I70" s="956" t="n"/>
      <c r="J70" s="957" t="n"/>
      <c r="K70" s="923" t="n"/>
      <c r="R70" s="924" t="n"/>
    </row>
    <row r="71" ht="21" customHeight="1" thickBot="1">
      <c r="B71" s="961" t="n"/>
      <c r="C71" s="962" t="n"/>
      <c r="D71" s="963" t="n"/>
      <c r="E71" s="348" t="n"/>
      <c r="F71" s="732" t="n"/>
      <c r="G71" s="942" t="n"/>
      <c r="H71" s="942" t="n"/>
      <c r="I71" s="942" t="n"/>
      <c r="J71" s="943" t="n"/>
      <c r="K71" s="932" t="n"/>
      <c r="L71" s="928" t="n"/>
      <c r="M71" s="928" t="n"/>
      <c r="N71" s="928" t="n"/>
      <c r="O71" s="928" t="n"/>
      <c r="P71" s="928" t="n"/>
      <c r="Q71" s="928" t="n"/>
      <c r="R71" s="929" t="n"/>
    </row>
    <row r="72" ht="14.5" customHeight="1" thickBot="1">
      <c r="B72" s="340" t="n"/>
      <c r="C72" s="340" t="n"/>
      <c r="D72" s="340" t="n"/>
      <c r="E72" s="340" t="n"/>
      <c r="F72" s="340" t="n"/>
      <c r="G72" s="340" t="n"/>
      <c r="H72" s="340" t="n"/>
      <c r="I72" s="340" t="n"/>
      <c r="J72" s="340" t="n"/>
    </row>
    <row r="73">
      <c r="B73" s="964" t="inlineStr">
        <is>
          <t>2. Your skills and experience</t>
        </is>
      </c>
      <c r="C73" s="921" t="n"/>
      <c r="D73" s="921" t="n"/>
      <c r="E73" s="921" t="n"/>
      <c r="F73" s="921" t="n"/>
      <c r="G73" s="921" t="n"/>
      <c r="H73" s="921" t="n"/>
      <c r="I73" s="921" t="n"/>
      <c r="J73" s="922" t="n"/>
      <c r="K73" s="965" t="n"/>
      <c r="L73" s="921" t="n"/>
      <c r="M73" s="921" t="n"/>
      <c r="N73" s="921" t="n"/>
      <c r="O73" s="921" t="n"/>
      <c r="P73" s="921" t="n"/>
      <c r="Q73" s="921" t="n"/>
      <c r="R73" s="922" t="n"/>
    </row>
    <row r="74">
      <c r="B74" s="923" t="n"/>
      <c r="J74" s="924" t="n"/>
      <c r="K74" s="923" t="n"/>
      <c r="R74" s="924" t="n"/>
    </row>
    <row r="75" ht="14.5" customHeight="1" thickBot="1">
      <c r="B75" s="932" t="n"/>
      <c r="C75" s="928" t="n"/>
      <c r="D75" s="928" t="n"/>
      <c r="E75" s="928" t="n"/>
      <c r="F75" s="928" t="n"/>
      <c r="G75" s="928" t="n"/>
      <c r="H75" s="928" t="n"/>
      <c r="I75" s="928" t="n"/>
      <c r="J75" s="929" t="n"/>
      <c r="K75" s="932" t="n"/>
      <c r="L75" s="928" t="n"/>
      <c r="M75" s="928" t="n"/>
      <c r="N75" s="928" t="n"/>
      <c r="O75" s="928" t="n"/>
      <c r="P75" s="928" t="n"/>
      <c r="Q75" s="928" t="n"/>
      <c r="R75" s="929" t="n"/>
    </row>
    <row r="76" ht="30" customHeight="1" thickBot="1">
      <c r="B76" s="948" t="inlineStr">
        <is>
          <t>Outline any previous experience, employment or other work that you have done that is relevant to your business:</t>
        </is>
      </c>
      <c r="C76" s="949" t="n"/>
      <c r="D76" s="949" t="n"/>
      <c r="E76" s="949" t="n"/>
      <c r="F76" s="949" t="n"/>
      <c r="G76" s="949" t="n"/>
      <c r="H76" s="949" t="n"/>
      <c r="I76" s="949" t="n"/>
      <c r="J76" s="950" t="n"/>
      <c r="K76" s="951" t="n"/>
      <c r="L76" s="949" t="n"/>
      <c r="M76" s="949" t="n"/>
      <c r="N76" s="949" t="n"/>
      <c r="O76" s="949" t="n"/>
      <c r="P76" s="949" t="n"/>
      <c r="Q76" s="949" t="n"/>
      <c r="R76" s="950" t="n"/>
    </row>
    <row r="77" ht="25.5" customHeight="1">
      <c r="B77" s="935" t="inlineStr">
        <is>
          <t>20+ years experience in banking and technology, building trading systems and large-scale enterprise applications for financial institutions. Currently employed at Meta (Facebook), where I have direct experience scaling digital products to hundreds of millions of users, building automated technical systems, and deploying paid social advertising at scale — the primary channel SOLUM will use.
I am building SOLUM for myself. As the exact target customer, I have direct insight into the market gap. My Meta background gives a significant competitive advantage in running efficient paid social campaigns. My 20+ years in financial services provides commercial acumen, financial modelling capability, and supplier management discipline. All e-commerce, subscription billing, and automation systems can be built in-house — no agencies in Year 1.</t>
        </is>
      </c>
      <c r="C77" s="936" t="n"/>
      <c r="D77" s="936" t="n"/>
      <c r="E77" s="936" t="n"/>
      <c r="F77" s="936" t="n"/>
      <c r="G77" s="936" t="n"/>
      <c r="H77" s="936" t="n"/>
      <c r="I77" s="936" t="n"/>
      <c r="J77" s="937" t="n"/>
      <c r="K77" s="938" t="inlineStr">
        <is>
          <t>You may have:
Previously set up another business / a similar business.
Previously worked in the same sector for another business.
Had formal training / qualifications
Is there any training required that you do not have?
Personal traits that make you well suited to run the company (natural salesman, well organised, language, creative, analytical etc.).</t>
        </is>
      </c>
      <c r="L77" s="921" t="n"/>
      <c r="M77" s="921" t="n"/>
      <c r="N77" s="921" t="n"/>
      <c r="O77" s="921" t="n"/>
      <c r="P77" s="921" t="n"/>
      <c r="Q77" s="921" t="n"/>
      <c r="R77" s="922" t="n"/>
    </row>
    <row r="78" ht="25.5" customHeight="1">
      <c r="B78" s="939" t="n"/>
      <c r="C78" s="914" t="n"/>
      <c r="D78" s="914" t="n"/>
      <c r="E78" s="914" t="n"/>
      <c r="F78" s="914" t="n"/>
      <c r="G78" s="914" t="n"/>
      <c r="H78" s="914" t="n"/>
      <c r="I78" s="914" t="n"/>
      <c r="J78" s="940" t="n"/>
      <c r="K78" s="923" t="n"/>
      <c r="R78" s="924" t="n"/>
    </row>
    <row r="79" ht="25.5" customHeight="1">
      <c r="B79" s="939" t="n"/>
      <c r="C79" s="914" t="n"/>
      <c r="D79" s="914" t="n"/>
      <c r="E79" s="914" t="n"/>
      <c r="F79" s="914" t="n"/>
      <c r="G79" s="914" t="n"/>
      <c r="H79" s="914" t="n"/>
      <c r="I79" s="914" t="n"/>
      <c r="J79" s="940" t="n"/>
      <c r="K79" s="923" t="n"/>
      <c r="R79" s="924" t="n"/>
    </row>
    <row r="80" ht="25.5" customHeight="1">
      <c r="B80" s="939" t="n"/>
      <c r="C80" s="914" t="n"/>
      <c r="D80" s="914" t="n"/>
      <c r="E80" s="914" t="n"/>
      <c r="F80" s="914" t="n"/>
      <c r="G80" s="914" t="n"/>
      <c r="H80" s="914" t="n"/>
      <c r="I80" s="914" t="n"/>
      <c r="J80" s="940" t="n"/>
      <c r="K80" s="923" t="n"/>
      <c r="R80" s="924" t="n"/>
    </row>
    <row r="81" ht="25.5" customHeight="1">
      <c r="B81" s="939" t="n"/>
      <c r="C81" s="914" t="n"/>
      <c r="D81" s="914" t="n"/>
      <c r="E81" s="914" t="n"/>
      <c r="F81" s="914" t="n"/>
      <c r="G81" s="914" t="n"/>
      <c r="H81" s="914" t="n"/>
      <c r="I81" s="914" t="n"/>
      <c r="J81" s="940" t="n"/>
      <c r="K81" s="923" t="n"/>
      <c r="R81" s="924" t="n"/>
    </row>
    <row r="82" ht="25.5" customHeight="1">
      <c r="B82" s="939" t="n"/>
      <c r="C82" s="914" t="n"/>
      <c r="D82" s="914" t="n"/>
      <c r="E82" s="914" t="n"/>
      <c r="F82" s="914" t="n"/>
      <c r="G82" s="914" t="n"/>
      <c r="H82" s="914" t="n"/>
      <c r="I82" s="914" t="n"/>
      <c r="J82" s="940" t="n"/>
      <c r="K82" s="923" t="n"/>
      <c r="R82" s="924" t="n"/>
    </row>
    <row r="83" ht="25.5" customHeight="1" thickBot="1">
      <c r="B83" s="941" t="n"/>
      <c r="C83" s="942" t="n"/>
      <c r="D83" s="942" t="n"/>
      <c r="E83" s="942" t="n"/>
      <c r="F83" s="942" t="n"/>
      <c r="G83" s="942" t="n"/>
      <c r="H83" s="942" t="n"/>
      <c r="I83" s="942" t="n"/>
      <c r="J83" s="943" t="n"/>
      <c r="K83" s="932" t="n"/>
      <c r="L83" s="928" t="n"/>
      <c r="M83" s="928" t="n"/>
      <c r="N83" s="928" t="n"/>
      <c r="O83" s="928" t="n"/>
      <c r="P83" s="928" t="n"/>
      <c r="Q83" s="928" t="n"/>
      <c r="R83" s="929" t="n"/>
    </row>
    <row r="84" ht="30" customHeight="1" thickBot="1">
      <c r="B84" s="948" t="inlineStr">
        <is>
          <t>Outline any education or training you have had that is relevant to your business:</t>
        </is>
      </c>
      <c r="C84" s="949" t="n"/>
      <c r="D84" s="949" t="n"/>
      <c r="E84" s="949" t="n"/>
      <c r="F84" s="949" t="n"/>
      <c r="G84" s="949" t="n"/>
      <c r="H84" s="949" t="n"/>
      <c r="I84" s="949" t="n"/>
      <c r="J84" s="950" t="n"/>
      <c r="K84" s="951" t="n"/>
      <c r="L84" s="949" t="n"/>
      <c r="M84" s="949" t="n"/>
      <c r="N84" s="949" t="n"/>
      <c r="O84" s="949" t="n"/>
      <c r="P84" s="949" t="n"/>
      <c r="Q84" s="949" t="n"/>
      <c r="R84" s="950" t="n"/>
    </row>
    <row r="85" ht="25.5" customHeight="1">
      <c r="B85" s="935" t="inlineStr">
        <is>
          <t>Master's degree in Computer Science. Provides strong foundation in systems thinking, analytical problem-solving, and technology implementation — directly supporting SOLUM's digital-first, data-driven approach to customer acquisition and subscription management.</t>
        </is>
      </c>
      <c r="C85" s="936" t="n"/>
      <c r="D85" s="936" t="n"/>
      <c r="E85" s="936" t="n"/>
      <c r="F85" s="936" t="n"/>
      <c r="G85" s="936" t="n"/>
      <c r="H85" s="936" t="n"/>
      <c r="I85" s="936" t="n"/>
      <c r="J85" s="937" t="n"/>
      <c r="K85" s="938" t="inlineStr">
        <is>
          <t>Depending on the business, you may be required to have certain qualifications/training and if so, please make the details of when/how these were achieved clear.
For example "I have a Level 3 NVQ Diploma in Domestic Plumbing and heating which I achieved in August 2010."
Or "I have a degree in Business Management with Open University"</t>
        </is>
      </c>
      <c r="L85" s="921" t="n"/>
      <c r="M85" s="921" t="n"/>
      <c r="N85" s="921" t="n"/>
      <c r="O85" s="921" t="n"/>
      <c r="P85" s="921" t="n"/>
      <c r="Q85" s="921" t="n"/>
      <c r="R85" s="922" t="n"/>
    </row>
    <row r="86" ht="25.5" customHeight="1">
      <c r="B86" s="939" t="n"/>
      <c r="C86" s="914" t="n"/>
      <c r="D86" s="914" t="n"/>
      <c r="E86" s="914" t="n"/>
      <c r="F86" s="914" t="n"/>
      <c r="G86" s="914" t="n"/>
      <c r="H86" s="914" t="n"/>
      <c r="I86" s="914" t="n"/>
      <c r="J86" s="940" t="n"/>
      <c r="K86" s="923" t="n"/>
      <c r="R86" s="924" t="n"/>
    </row>
    <row r="87" ht="25.5" customHeight="1">
      <c r="B87" s="939" t="n"/>
      <c r="C87" s="914" t="n"/>
      <c r="D87" s="914" t="n"/>
      <c r="E87" s="914" t="n"/>
      <c r="F87" s="914" t="n"/>
      <c r="G87" s="914" t="n"/>
      <c r="H87" s="914" t="n"/>
      <c r="I87" s="914" t="n"/>
      <c r="J87" s="940" t="n"/>
      <c r="K87" s="923" t="n"/>
      <c r="R87" s="924" t="n"/>
    </row>
    <row r="88" ht="25.5" customHeight="1">
      <c r="B88" s="939" t="n"/>
      <c r="C88" s="914" t="n"/>
      <c r="D88" s="914" t="n"/>
      <c r="E88" s="914" t="n"/>
      <c r="F88" s="914" t="n"/>
      <c r="G88" s="914" t="n"/>
      <c r="H88" s="914" t="n"/>
      <c r="I88" s="914" t="n"/>
      <c r="J88" s="940" t="n"/>
      <c r="K88" s="923" t="n"/>
      <c r="R88" s="924" t="n"/>
    </row>
    <row r="89" ht="25.5" customHeight="1">
      <c r="B89" s="939" t="n"/>
      <c r="C89" s="914" t="n"/>
      <c r="D89" s="914" t="n"/>
      <c r="E89" s="914" t="n"/>
      <c r="F89" s="914" t="n"/>
      <c r="G89" s="914" t="n"/>
      <c r="H89" s="914" t="n"/>
      <c r="I89" s="914" t="n"/>
      <c r="J89" s="940" t="n"/>
      <c r="K89" s="923" t="n"/>
      <c r="R89" s="924" t="n"/>
    </row>
    <row r="90" ht="25.5" customHeight="1">
      <c r="B90" s="939" t="n"/>
      <c r="C90" s="914" t="n"/>
      <c r="D90" s="914" t="n"/>
      <c r="E90" s="914" t="n"/>
      <c r="F90" s="914" t="n"/>
      <c r="G90" s="914" t="n"/>
      <c r="H90" s="914" t="n"/>
      <c r="I90" s="914" t="n"/>
      <c r="J90" s="940" t="n"/>
      <c r="K90" s="923" t="n"/>
      <c r="R90" s="924" t="n"/>
    </row>
    <row r="91" ht="25.5" customHeight="1" thickBot="1">
      <c r="B91" s="941" t="n"/>
      <c r="C91" s="942" t="n"/>
      <c r="D91" s="942" t="n"/>
      <c r="E91" s="942" t="n"/>
      <c r="F91" s="942" t="n"/>
      <c r="G91" s="942" t="n"/>
      <c r="H91" s="942" t="n"/>
      <c r="I91" s="942" t="n"/>
      <c r="J91" s="943" t="n"/>
      <c r="K91" s="932" t="n"/>
      <c r="L91" s="928" t="n"/>
      <c r="M91" s="928" t="n"/>
      <c r="N91" s="928" t="n"/>
      <c r="O91" s="928" t="n"/>
      <c r="P91" s="928" t="n"/>
      <c r="Q91" s="928" t="n"/>
      <c r="R91" s="929" t="n"/>
    </row>
    <row r="92">
      <c r="B92" s="340" t="n"/>
      <c r="C92" s="340" t="n"/>
      <c r="D92" s="340" t="n"/>
      <c r="E92" s="340" t="n"/>
      <c r="F92" s="340" t="n"/>
      <c r="G92" s="340" t="n"/>
      <c r="H92" s="340" t="n"/>
      <c r="I92" s="340" t="n"/>
      <c r="J92" s="340" t="n"/>
    </row>
    <row r="93" ht="14.5" customHeight="1" thickBot="1"/>
    <row r="94" ht="14.15" customHeight="1">
      <c r="B94" s="484" t="inlineStr">
        <is>
          <t>3. Your target customers</t>
        </is>
      </c>
      <c r="L94" s="966" t="inlineStr">
        <is>
          <t>Guidance</t>
        </is>
      </c>
      <c r="M94" s="921" t="n"/>
      <c r="N94" s="921" t="n"/>
      <c r="O94" s="921" t="n"/>
      <c r="P94" s="921" t="n"/>
      <c r="Q94" s="921" t="n"/>
      <c r="R94" s="922" t="n"/>
    </row>
    <row r="95" ht="14.15" customHeight="1">
      <c r="B95" s="923" t="n"/>
      <c r="L95" s="923" t="n"/>
      <c r="R95" s="924" t="n"/>
    </row>
    <row r="96" ht="14.65" customHeight="1" thickBot="1">
      <c r="B96" s="923" t="n"/>
      <c r="L96" s="932" t="n"/>
      <c r="M96" s="928" t="n"/>
      <c r="N96" s="928" t="n"/>
      <c r="O96" s="928" t="n"/>
      <c r="P96" s="928" t="n"/>
      <c r="Q96" s="928" t="n"/>
      <c r="R96" s="929" t="n"/>
    </row>
    <row r="97" ht="16.5" customHeight="1" thickBot="1">
      <c r="B97" s="967" t="inlineStr">
        <is>
          <t>Demographic details:</t>
        </is>
      </c>
      <c r="C97" s="968" t="n"/>
      <c r="D97" s="968" t="n"/>
      <c r="E97" s="968" t="n"/>
      <c r="F97" s="968" t="n"/>
      <c r="G97" s="968" t="n"/>
      <c r="H97" s="968" t="n"/>
      <c r="I97" s="968" t="n"/>
      <c r="J97" s="968" t="n"/>
      <c r="K97" s="969" t="n"/>
      <c r="L97" s="671" t="n"/>
      <c r="M97" s="921" t="n"/>
      <c r="N97" s="921" t="n"/>
      <c r="O97" s="921" t="n"/>
      <c r="P97" s="921" t="n"/>
      <c r="Q97" s="921" t="n"/>
      <c r="R97" s="922" t="n"/>
    </row>
    <row r="98" ht="30" customHeight="1" thickBot="1">
      <c r="B98" s="970" t="inlineStr">
        <is>
          <t>Briefly describe your target customers:</t>
        </is>
      </c>
      <c r="K98" s="924" t="n"/>
      <c r="L98" s="971" t="n"/>
      <c r="M98" s="949" t="n"/>
      <c r="N98" s="949" t="n"/>
      <c r="O98" s="949" t="n"/>
      <c r="P98" s="949" t="n"/>
      <c r="Q98" s="949" t="n"/>
      <c r="R98" s="950" t="n"/>
    </row>
    <row r="99">
      <c r="B99" s="972" t="inlineStr">
        <is>
          <t>Primary: Men aged 25-45, UK-based, household income £35,000+. Engaged in fitness/sport. Already spend on some grooming products but have no structured body care system. Comfortable with DTC online purchasing and subscriptions.
Secondary: Gift-buyers (partners, parents) for men 25-45. Also men who already spend on premium grooming (Bulldog, Patricks, Hims) but want a more complete system.
Geographic: UK-wide, primarily England. All sales via bysolum.co.uk in Year 1.</t>
        </is>
      </c>
      <c r="K99" s="924" t="n"/>
      <c r="L99" s="938" t="inlineStr">
        <is>
          <t>Look at your current customer base.
Analse your product/service.
Choose specific demographics to target.
Consider the psychographics of your target.
Evaluate your decision.</t>
        </is>
      </c>
      <c r="M99" s="921" t="n"/>
      <c r="N99" s="921" t="n"/>
      <c r="O99" s="921" t="n"/>
      <c r="P99" s="921" t="n"/>
      <c r="Q99" s="921" t="n"/>
      <c r="R99" s="922" t="n"/>
    </row>
    <row r="100">
      <c r="B100" s="923" t="n"/>
      <c r="K100" s="924" t="n"/>
      <c r="L100" s="923" t="n"/>
      <c r="R100" s="924" t="n"/>
    </row>
    <row r="101">
      <c r="B101" s="923" t="n"/>
      <c r="K101" s="924" t="n"/>
      <c r="L101" s="923" t="n"/>
      <c r="R101" s="924" t="n"/>
    </row>
    <row r="102">
      <c r="B102" s="923" t="n"/>
      <c r="K102" s="924" t="n"/>
      <c r="L102" s="923" t="n"/>
      <c r="R102" s="924" t="n"/>
    </row>
    <row r="103">
      <c r="B103" s="923" t="n"/>
      <c r="K103" s="924" t="n"/>
      <c r="L103" s="923" t="n"/>
      <c r="R103" s="924" t="n"/>
    </row>
    <row r="104" ht="14.5" customHeight="1" thickBot="1">
      <c r="B104" s="923" t="n"/>
      <c r="K104" s="924" t="n"/>
      <c r="L104" s="932" t="n"/>
      <c r="M104" s="928" t="n"/>
      <c r="N104" s="928" t="n"/>
      <c r="O104" s="928" t="n"/>
      <c r="P104" s="928" t="n"/>
      <c r="Q104" s="928" t="n"/>
      <c r="R104" s="929" t="n"/>
    </row>
    <row r="105" ht="30" customHeight="1" thickBot="1">
      <c r="B105" s="970" t="inlineStr">
        <is>
          <t>What customer need or problem does your product(s) and/or service(s) address?</t>
        </is>
      </c>
      <c r="K105" s="924" t="n"/>
      <c r="L105" s="971" t="n"/>
      <c r="M105" s="949" t="n"/>
      <c r="N105" s="949" t="n"/>
      <c r="O105" s="949" t="n"/>
      <c r="P105" s="949" t="n"/>
      <c r="Q105" s="949" t="n"/>
      <c r="R105" s="950" t="n"/>
    </row>
    <row r="106">
      <c r="B106" s="972" t="inlineStr">
        <is>
          <t>Most men shower daily and still have rough skin, a neglected back, and a scalp never properly cleaned. No brand has built a complete, sequenced body care system for men. Every men's grooming brand focuses on face, hair, or fragrance.
SOLUM delivers a specific daily and weekly ritual in a single box: the right tools, the right formulations, step-by-step instructions. The system is complete on arrival.</t>
        </is>
      </c>
      <c r="K106" s="924" t="n"/>
      <c r="L106" s="938" t="n"/>
      <c r="M106" s="921" t="n"/>
      <c r="N106" s="921" t="n"/>
      <c r="O106" s="921" t="n"/>
      <c r="P106" s="921" t="n"/>
      <c r="Q106" s="921" t="n"/>
      <c r="R106" s="922" t="n"/>
    </row>
    <row r="107">
      <c r="B107" s="923" t="n"/>
      <c r="K107" s="924" t="n"/>
      <c r="L107" s="923" t="n"/>
      <c r="R107" s="924" t="n"/>
    </row>
    <row r="108">
      <c r="B108" s="923" t="n"/>
      <c r="K108" s="924" t="n"/>
      <c r="L108" s="923" t="n"/>
      <c r="R108" s="924" t="n"/>
    </row>
    <row r="109">
      <c r="B109" s="923" t="n"/>
      <c r="K109" s="924" t="n"/>
      <c r="L109" s="923" t="n"/>
      <c r="R109" s="924" t="n"/>
    </row>
    <row r="110">
      <c r="B110" s="923" t="n"/>
      <c r="K110" s="924" t="n"/>
      <c r="L110" s="923" t="n"/>
      <c r="R110" s="924" t="n"/>
    </row>
    <row r="111" ht="14.5" customHeight="1" thickBot="1">
      <c r="B111" s="923" t="n"/>
      <c r="K111" s="924" t="n"/>
      <c r="L111" s="932" t="n"/>
      <c r="M111" s="928" t="n"/>
      <c r="N111" s="928" t="n"/>
      <c r="O111" s="928" t="n"/>
      <c r="P111" s="928" t="n"/>
      <c r="Q111" s="928" t="n"/>
      <c r="R111" s="929" t="n"/>
    </row>
    <row r="112" ht="30" customHeight="1" thickBot="1">
      <c r="B112" s="970" t="inlineStr">
        <is>
          <t>Explain your approach to pricing your product(s) and/or service(s):</t>
        </is>
      </c>
      <c r="K112" s="924" t="n"/>
      <c r="L112" s="971" t="n"/>
      <c r="M112" s="949" t="n"/>
      <c r="N112" s="949" t="n"/>
      <c r="O112" s="949" t="n"/>
      <c r="P112" s="949" t="n"/>
      <c r="Q112" s="949" t="n"/>
      <c r="R112" s="950" t="n"/>
    </row>
    <row r="113">
      <c r="B113" s="973" t="inlineStr">
        <is>
          <t>Positioned premium-accessible — above mass market (Bulldog, Simple) but below luxury (Aesop, Noble Isle). Pricing justified by ingredient provenance (Moroccan organic argan, Korean bathhouse technique, UK amino acid wash) and system value — customers buy a complete ritual.
GROUND Kit £65 first box (69% GM), RITUAL Kit £85 (70% GM). Monthly refills £38-£48 (48-64% GM). Benchmark: Bulldog kits £20-35 (mass, face only). Patricks £25-55/item (premium, hair focused). SOLUM: only complete body ritual kit at one accessible price.</t>
        </is>
      </c>
      <c r="C113" s="921" t="n"/>
      <c r="D113" s="921" t="n"/>
      <c r="E113" s="921" t="n"/>
      <c r="F113" s="921" t="n"/>
      <c r="G113" s="921" t="n"/>
      <c r="H113" s="921" t="n"/>
      <c r="I113" s="921" t="n"/>
      <c r="J113" s="921" t="n"/>
      <c r="K113" s="922" t="n"/>
      <c r="L113" s="938" t="n"/>
      <c r="M113" s="921" t="n"/>
      <c r="N113" s="921" t="n"/>
      <c r="O113" s="921" t="n"/>
      <c r="P113" s="921" t="n"/>
      <c r="Q113" s="921" t="n"/>
      <c r="R113" s="922" t="n"/>
    </row>
    <row r="114">
      <c r="B114" s="923" t="n"/>
      <c r="K114" s="924" t="n"/>
      <c r="L114" s="923" t="n"/>
      <c r="R114" s="924" t="n"/>
    </row>
    <row r="115">
      <c r="B115" s="923" t="n"/>
      <c r="K115" s="924" t="n"/>
      <c r="L115" s="923" t="n"/>
      <c r="R115" s="924" t="n"/>
    </row>
    <row r="116">
      <c r="B116" s="923" t="n"/>
      <c r="K116" s="924" t="n"/>
      <c r="L116" s="923" t="n"/>
      <c r="R116" s="924" t="n"/>
    </row>
    <row r="117">
      <c r="B117" s="923" t="n"/>
      <c r="K117" s="924" t="n"/>
      <c r="L117" s="923" t="n"/>
      <c r="R117" s="924" t="n"/>
    </row>
    <row r="118" ht="14.5" customHeight="1" thickBot="1">
      <c r="B118" s="932" t="n"/>
      <c r="C118" s="928" t="n"/>
      <c r="D118" s="928" t="n"/>
      <c r="E118" s="928" t="n"/>
      <c r="F118" s="928" t="n"/>
      <c r="G118" s="928" t="n"/>
      <c r="H118" s="928" t="n"/>
      <c r="I118" s="928" t="n"/>
      <c r="J118" s="928" t="n"/>
      <c r="K118" s="929" t="n"/>
      <c r="L118" s="932" t="n"/>
      <c r="M118" s="928" t="n"/>
      <c r="N118" s="928" t="n"/>
      <c r="O118" s="928" t="n"/>
      <c r="P118" s="928" t="n"/>
      <c r="Q118" s="928" t="n"/>
      <c r="R118" s="929" t="n"/>
    </row>
    <row r="119">
      <c r="B119" s="298" t="n"/>
      <c r="C119" s="298" t="n"/>
      <c r="D119" s="298" t="n"/>
      <c r="E119" s="298" t="n"/>
      <c r="F119" s="298" t="n"/>
      <c r="G119" s="298" t="n"/>
      <c r="H119" s="298" t="n"/>
      <c r="I119" s="298" t="n"/>
      <c r="J119" s="298" t="n"/>
      <c r="K119" s="298" t="n"/>
      <c r="L119" s="298" t="n"/>
      <c r="M119" s="298" t="n"/>
    </row>
    <row r="120" ht="14.5" customHeight="1" thickBot="1">
      <c r="B120" s="298" t="n"/>
      <c r="C120" s="298" t="n"/>
      <c r="D120" s="298" t="n"/>
      <c r="E120" s="298" t="n"/>
      <c r="F120" s="298" t="n"/>
      <c r="G120" s="298" t="n"/>
      <c r="H120" s="298" t="n"/>
      <c r="I120" s="298" t="n"/>
      <c r="J120" s="298" t="n"/>
      <c r="K120" s="298" t="n"/>
      <c r="L120" s="298" t="n"/>
      <c r="M120" s="298" t="n"/>
    </row>
    <row r="121" ht="14.15" customHeight="1">
      <c r="B121" s="974" t="inlineStr">
        <is>
          <t>4. Your market and competition</t>
        </is>
      </c>
      <c r="C121" s="921" t="n"/>
      <c r="D121" s="921" t="n"/>
      <c r="E121" s="921" t="n"/>
      <c r="F121" s="921" t="n"/>
      <c r="G121" s="921" t="n"/>
      <c r="H121" s="921" t="n"/>
      <c r="I121" s="921" t="n"/>
      <c r="J121" s="921" t="n"/>
      <c r="K121" s="922" t="n"/>
      <c r="L121" s="975" t="inlineStr">
        <is>
          <t>Guidance</t>
        </is>
      </c>
      <c r="M121" s="921" t="n"/>
      <c r="N121" s="921" t="n"/>
      <c r="O121" s="921" t="n"/>
      <c r="P121" s="921" t="n"/>
      <c r="Q121" s="921" t="n"/>
      <c r="R121" s="922" t="n"/>
    </row>
    <row r="122" ht="14.15" customHeight="1">
      <c r="B122" s="923" t="n"/>
      <c r="K122" s="924" t="n"/>
      <c r="L122" s="923" t="n"/>
      <c r="R122" s="924" t="n"/>
    </row>
    <row r="123" ht="14.65" customHeight="1" thickBot="1">
      <c r="B123" s="923" t="n"/>
      <c r="K123" s="924" t="n"/>
      <c r="L123" s="923" t="n"/>
      <c r="R123" s="924" t="n"/>
    </row>
    <row r="124" ht="38.15" customHeight="1" thickBot="1">
      <c r="B124" s="520" t="inlineStr">
        <is>
          <t>What research have you conducted to understand your market, including your industry, regions, customers, competitors?</t>
        </is>
      </c>
      <c r="C124" s="968" t="n"/>
      <c r="D124" s="968" t="n"/>
      <c r="E124" s="968" t="n"/>
      <c r="F124" s="968" t="n"/>
      <c r="G124" s="968" t="n"/>
      <c r="H124" s="968" t="n"/>
      <c r="I124" s="968" t="n"/>
      <c r="J124" s="968" t="n"/>
      <c r="K124" s="968" t="n"/>
      <c r="L124" s="976" t="n"/>
      <c r="M124" s="977" t="n"/>
      <c r="N124" s="977" t="n"/>
      <c r="O124" s="977" t="n"/>
      <c r="P124" s="977" t="n"/>
      <c r="Q124" s="977" t="n"/>
      <c r="R124" s="978" t="n"/>
    </row>
    <row r="125" ht="29.15" customHeight="1" thickBot="1">
      <c r="B125" s="979" t="inlineStr">
        <is>
          <t>Delete any answers not applicable to you and provide some description as relevant.</t>
        </is>
      </c>
      <c r="C125" s="968" t="n"/>
      <c r="D125" s="968" t="n"/>
      <c r="E125" s="968" t="n"/>
      <c r="F125" s="968" t="n"/>
      <c r="G125" s="968" t="n"/>
      <c r="H125" s="968" t="n"/>
      <c r="I125" s="968" t="n"/>
      <c r="J125" s="968" t="n"/>
      <c r="K125" s="969" t="n"/>
      <c r="L125" s="980" t="n"/>
      <c r="M125" s="981" t="n"/>
      <c r="N125" s="981" t="n"/>
      <c r="O125" s="981" t="n"/>
      <c r="P125" s="981" t="n"/>
      <c r="Q125" s="981" t="n"/>
      <c r="R125" s="982" t="n"/>
    </row>
    <row r="126" ht="14.15" customHeight="1">
      <c r="B126" s="983" t="inlineStr">
        <is>
          <t>·   Surveys &amp; questionnaires</t>
        </is>
      </c>
      <c r="C126" s="977" t="n"/>
      <c r="D126" s="977" t="n"/>
      <c r="E126" s="977" t="n"/>
      <c r="F126" s="977" t="n"/>
      <c r="G126" s="977" t="n"/>
      <c r="H126" s="977" t="n"/>
      <c r="I126" s="977" t="n"/>
      <c r="J126" s="977" t="n"/>
      <c r="K126" s="984" t="n"/>
      <c r="L126" s="985" t="inlineStr">
        <is>
          <t>Describe why there is a demand for the products/ services the business will be providing in the chosen locality. 
Things to consider may include, but not limited to:
- Clearly identify where you intend to trade and the potential market size/opportunity.
- Provide a list of your key competitors, highlight their strengths and weaknesses and identify the unique selling points of their own offering.
- Clearly describe the target audience, their motivations for 'buying' and any other key features that may assist you in reaching and converting these customers.
Show how you have undertaken market research to help you develop an understanding of the market, competitors and customers (e.g. surveys, opinion polls, focus groups, data gathering, mystery shopping etc). It is not about the activities themselves but rather the insights you have drawn from this market research and it should be clear how you are harnessing these within your plans.
Identify at least three sales/marketing tactics you are using or intend to use in order to reach their customers. Clearly describe how these activities will be carried out and measured.
Demonstrate that there is a market for your offering (e.g. expressions of interest, letters of intent, contracts in place, waiting list/requests for orders, creation of a community following, test trading  or sampling etc.).</t>
        </is>
      </c>
      <c r="R126" s="924" t="n"/>
    </row>
    <row r="127" ht="14.15" customHeight="1">
      <c r="B127" s="986" t="inlineStr">
        <is>
          <t>·   Focus groups</t>
        </is>
      </c>
      <c r="K127" s="924" t="n"/>
      <c r="L127" s="923" t="n"/>
      <c r="R127" s="924" t="n"/>
    </row>
    <row r="128" ht="14.15" customHeight="1">
      <c r="B128" s="986" t="inlineStr">
        <is>
          <t>·   Interviews</t>
        </is>
      </c>
      <c r="K128" s="924" t="n"/>
      <c r="L128" s="923" t="n"/>
      <c r="R128" s="924" t="n"/>
    </row>
    <row r="129" ht="14.15" customHeight="1">
      <c r="B129" s="986" t="inlineStr">
        <is>
          <t>Desk/online research: UK men's grooming market ~£1.2bn, growing 6% YoY. DTC subscription model growing across all personal care categories.</t>
        </is>
      </c>
      <c r="K129" s="924" t="n"/>
      <c r="L129" s="923" t="n"/>
      <c r="R129" s="924" t="n"/>
    </row>
    <row r="130" ht="14.15" customHeight="1">
      <c r="B130" s="986" t="inlineStr">
        <is>
          <t xml:space="preserve">·   Market testing </t>
        </is>
      </c>
      <c r="K130" s="924" t="n"/>
      <c r="L130" s="923" t="n"/>
      <c r="R130" s="924" t="n"/>
    </row>
    <row r="131" ht="14.15" customHeight="1">
      <c r="B131" s="986" t="inlineStr">
        <is>
          <t>·   Trade fairs or exhibitions</t>
        </is>
      </c>
      <c r="K131" s="924" t="n"/>
      <c r="L131" s="923" t="n"/>
      <c r="R131" s="924" t="n"/>
    </row>
    <row r="132" ht="14.15" customHeight="1">
      <c r="B132" s="986" t="inlineStr">
        <is>
          <t>Met with suppliers: Direct communication with Cosmiko UK, COOLFIN A Korea, Moroccan Organica, Fatima's Garden Morocco, Jennifer's Hamam Turkey. Confirmed pricing, MOQ, lead times.</t>
        </is>
      </c>
      <c r="K132" s="924" t="n"/>
      <c r="L132" s="923" t="n"/>
      <c r="R132" s="924" t="n"/>
    </row>
    <row r="133" ht="14.15" customHeight="1">
      <c r="B133" s="986" t="inlineStr">
        <is>
          <t>Personal experience: Founder identified gap through direct personal experience. Confirmed with male friends and colleagues — universal experience of inadequate body care system.</t>
        </is>
      </c>
      <c r="K133" s="924" t="n"/>
      <c r="L133" s="923" t="n"/>
      <c r="R133" s="924" t="n"/>
    </row>
    <row r="134" ht="14.15" customHeight="1">
      <c r="B134" s="986" t="inlineStr">
        <is>
          <t>Social media research: Instagram/TikTok #MensSkincare #BodyCare #KoreanBathhouse — high engagement, near-complete absence of structured men's body ritual content.</t>
        </is>
      </c>
      <c r="K134" s="924" t="n"/>
      <c r="L134" s="923" t="n"/>
      <c r="R134" s="924" t="n"/>
    </row>
    <row r="135" ht="14.15" customHeight="1">
      <c r="B135" s="986" t="inlineStr">
        <is>
          <t>Mystery shopping competitors: Purchased and tested Bulldog, Patricks, Hims UK, Manscaped. Confirmed gaps: no body ritual system, no Korean exfoliation, no weekly protocol.</t>
        </is>
      </c>
      <c r="K135" s="924" t="n"/>
      <c r="L135" s="923" t="n"/>
      <c r="R135" s="924" t="n"/>
    </row>
    <row r="136" ht="14.15" customHeight="1">
      <c r="B136" s="986" t="inlineStr">
        <is>
          <t>·   Family and friends</t>
        </is>
      </c>
      <c r="K136" s="924" t="n"/>
      <c r="L136" s="923" t="n"/>
      <c r="R136" s="924" t="n"/>
    </row>
    <row r="137">
      <c r="B137" s="986" t="inlineStr">
        <is>
          <t>Pre-launch waitlist: 180 sign-ups at bysolum.co.uk before any paid advertising. At average first-kit value of £73, this represents ~£13,140 in validated demand.</t>
        </is>
      </c>
      <c r="K137" s="924" t="n"/>
      <c r="L137" s="923" t="n"/>
      <c r="R137" s="924" t="n"/>
    </row>
    <row r="138">
      <c r="B138" s="987" t="n"/>
      <c r="K138" s="924" t="n"/>
      <c r="L138" s="923" t="n"/>
      <c r="R138" s="924" t="n"/>
    </row>
    <row r="139">
      <c r="B139" s="923" t="n"/>
      <c r="K139" s="924" t="n"/>
      <c r="L139" s="923" t="n"/>
      <c r="R139" s="924" t="n"/>
    </row>
    <row r="140">
      <c r="B140" s="923" t="n"/>
      <c r="K140" s="924" t="n"/>
      <c r="L140" s="923" t="n"/>
      <c r="R140" s="924" t="n"/>
    </row>
    <row r="141">
      <c r="B141" s="923" t="n"/>
      <c r="K141" s="924" t="n"/>
      <c r="L141" s="923" t="n"/>
      <c r="R141" s="924" t="n"/>
    </row>
    <row r="142">
      <c r="B142" s="923" t="n"/>
      <c r="K142" s="924" t="n"/>
      <c r="L142" s="923" t="n"/>
      <c r="R142" s="924" t="n"/>
    </row>
    <row r="143">
      <c r="B143" s="923" t="n"/>
      <c r="K143" s="924" t="n"/>
      <c r="L143" s="923" t="n"/>
      <c r="R143" s="924" t="n"/>
    </row>
    <row r="144">
      <c r="B144" s="923" t="n"/>
      <c r="K144" s="924" t="n"/>
      <c r="L144" s="923" t="n"/>
      <c r="R144" s="924" t="n"/>
    </row>
    <row r="145">
      <c r="B145" s="923" t="n"/>
      <c r="K145" s="924" t="n"/>
      <c r="L145" s="923" t="n"/>
      <c r="R145" s="924" t="n"/>
    </row>
    <row r="146">
      <c r="B146" s="923" t="n"/>
      <c r="K146" s="924" t="n"/>
      <c r="L146" s="923" t="n"/>
      <c r="R146" s="924" t="n"/>
    </row>
    <row r="147">
      <c r="B147" s="923" t="n"/>
      <c r="K147" s="924" t="n"/>
      <c r="L147" s="923" t="n"/>
      <c r="R147" s="924" t="n"/>
    </row>
    <row r="148">
      <c r="B148" s="923" t="n"/>
      <c r="K148" s="924" t="n"/>
      <c r="L148" s="923" t="n"/>
      <c r="R148" s="924" t="n"/>
    </row>
    <row r="149">
      <c r="B149" s="923" t="n"/>
      <c r="K149" s="924" t="n"/>
      <c r="L149" s="923" t="n"/>
      <c r="R149" s="924" t="n"/>
    </row>
    <row r="150">
      <c r="B150" s="923" t="n"/>
      <c r="K150" s="924" t="n"/>
      <c r="L150" s="923" t="n"/>
      <c r="R150" s="924" t="n"/>
    </row>
    <row r="151">
      <c r="B151" s="923" t="n"/>
      <c r="K151" s="924" t="n"/>
      <c r="L151" s="923" t="n"/>
      <c r="R151" s="924" t="n"/>
    </row>
    <row r="152">
      <c r="B152" s="923" t="n"/>
      <c r="K152" s="924" t="n"/>
      <c r="L152" s="923" t="n"/>
      <c r="R152" s="924" t="n"/>
    </row>
    <row r="153" ht="14.5" customHeight="1" thickBot="1">
      <c r="B153" s="988" t="n"/>
      <c r="C153" s="981" t="n"/>
      <c r="D153" s="981" t="n"/>
      <c r="E153" s="981" t="n"/>
      <c r="F153" s="981" t="n"/>
      <c r="G153" s="981" t="n"/>
      <c r="H153" s="981" t="n"/>
      <c r="I153" s="981" t="n"/>
      <c r="J153" s="981" t="n"/>
      <c r="K153" s="989" t="n"/>
      <c r="L153" s="932" t="n"/>
      <c r="M153" s="928" t="n"/>
      <c r="N153" s="928" t="n"/>
      <c r="O153" s="928" t="n"/>
      <c r="P153" s="928" t="n"/>
      <c r="Q153" s="928" t="n"/>
      <c r="R153" s="929" t="n"/>
    </row>
    <row r="154" ht="14.15" customHeight="1">
      <c r="B154" s="990" t="inlineStr">
        <is>
          <t>Competitor 1:</t>
        </is>
      </c>
      <c r="C154" s="977" t="n"/>
      <c r="D154" s="977" t="n"/>
      <c r="E154" s="977" t="n"/>
      <c r="F154" s="977" t="n"/>
      <c r="G154" s="977" t="n"/>
      <c r="H154" s="977" t="n"/>
      <c r="I154" s="977" t="n"/>
      <c r="J154" s="977" t="n"/>
      <c r="K154" s="978" t="n"/>
      <c r="L154" s="691" t="n"/>
      <c r="M154" s="921" t="n"/>
      <c r="N154" s="921" t="n"/>
      <c r="O154" s="921" t="n"/>
      <c r="P154" s="921" t="n"/>
      <c r="Q154" s="921" t="n"/>
      <c r="R154" s="922" t="n"/>
    </row>
    <row r="155" ht="14.5" customHeight="1" thickBot="1">
      <c r="B155" s="991" t="n"/>
      <c r="K155" s="992" t="n"/>
      <c r="R155" s="924" t="n"/>
    </row>
    <row r="156" ht="30" customHeight="1" thickBot="1">
      <c r="B156" s="993" t="inlineStr">
        <is>
          <t>Name, location, website:</t>
        </is>
      </c>
      <c r="C156" s="968" t="n"/>
      <c r="D156" s="968" t="n"/>
      <c r="E156" s="968" t="n"/>
      <c r="F156" s="968" t="n"/>
      <c r="G156" s="968" t="n"/>
      <c r="H156" s="969" t="n"/>
      <c r="I156" s="994" t="inlineStr">
        <is>
          <t>Average prices:</t>
        </is>
      </c>
      <c r="J156" s="968" t="n"/>
      <c r="K156" s="969" t="n"/>
      <c r="L156" s="649" t="n"/>
      <c r="M156" s="949" t="n"/>
      <c r="N156" s="949" t="n"/>
      <c r="O156" s="949" t="n"/>
      <c r="P156" s="949" t="n"/>
      <c r="Q156" s="949" t="n"/>
      <c r="R156" s="950" t="n"/>
    </row>
    <row r="157">
      <c r="B157" s="995" t="inlineStr">
        <is>
          <t>Bulldog Skincare — UK — bulldog.co.uk</t>
        </is>
      </c>
      <c r="H157" s="924" t="n"/>
      <c r="I157" s="996" t="inlineStr">
        <is>
          <t>£5-£15/product; starter sets £20-35</t>
        </is>
      </c>
      <c r="K157" s="924" t="n"/>
      <c r="L157" s="341" t="n"/>
      <c r="M157" s="342" t="n"/>
      <c r="N157" s="342" t="n"/>
      <c r="O157" s="342" t="n"/>
      <c r="P157" s="342" t="n"/>
      <c r="Q157" s="342" t="n"/>
      <c r="R157" s="343" t="n"/>
    </row>
    <row r="158">
      <c r="B158" s="923" t="n"/>
      <c r="H158" s="924" t="n"/>
      <c r="I158" s="923" t="n"/>
      <c r="K158" s="924" t="n"/>
      <c r="L158" s="344" t="n"/>
      <c r="M158" s="345" t="n"/>
      <c r="N158" s="345" t="n"/>
      <c r="O158" s="345" t="n"/>
      <c r="P158" s="345" t="n"/>
      <c r="Q158" s="345" t="n"/>
      <c r="R158" s="346" t="n"/>
    </row>
    <row r="159">
      <c r="B159" s="923" t="n"/>
      <c r="H159" s="924" t="n"/>
      <c r="I159" s="923" t="n"/>
      <c r="K159" s="924" t="n"/>
      <c r="L159" s="344" t="n"/>
      <c r="M159" s="345" t="n"/>
      <c r="N159" s="345" t="n"/>
      <c r="O159" s="345" t="n"/>
      <c r="P159" s="345" t="n"/>
      <c r="Q159" s="345" t="n"/>
      <c r="R159" s="346" t="n"/>
    </row>
    <row r="160">
      <c r="B160" s="923" t="n"/>
      <c r="H160" s="924" t="n"/>
      <c r="I160" s="923" t="n"/>
      <c r="K160" s="924" t="n"/>
      <c r="L160" s="344" t="n"/>
      <c r="M160" s="345" t="n"/>
      <c r="N160" s="345" t="n"/>
      <c r="O160" s="345" t="n"/>
      <c r="P160" s="345" t="n"/>
      <c r="Q160" s="345" t="n"/>
      <c r="R160" s="346" t="n"/>
    </row>
    <row r="161">
      <c r="B161" s="923" t="n"/>
      <c r="H161" s="924" t="n"/>
      <c r="I161" s="923" t="n"/>
      <c r="K161" s="924" t="n"/>
      <c r="L161" s="344" t="n"/>
      <c r="M161" s="345" t="n"/>
      <c r="N161" s="345" t="n"/>
      <c r="O161" s="345" t="n"/>
      <c r="P161" s="345" t="n"/>
      <c r="Q161" s="345" t="n"/>
      <c r="R161" s="346" t="n"/>
    </row>
    <row r="162" ht="14.5" customHeight="1" thickBot="1">
      <c r="B162" s="923" t="n"/>
      <c r="H162" s="924" t="n"/>
      <c r="I162" s="923" t="n"/>
      <c r="K162" s="924" t="n"/>
      <c r="L162" s="321" t="n"/>
      <c r="M162" s="298" t="n"/>
      <c r="N162" s="298" t="n"/>
      <c r="O162" s="298" t="n"/>
      <c r="P162" s="298" t="n"/>
      <c r="Q162" s="298" t="n"/>
      <c r="R162" s="322" t="n"/>
    </row>
    <row r="163" ht="30" customHeight="1" thickBot="1">
      <c r="B163" s="993" t="inlineStr">
        <is>
          <t>Strengths:</t>
        </is>
      </c>
      <c r="C163" s="968" t="n"/>
      <c r="D163" s="968" t="n"/>
      <c r="E163" s="968" t="n"/>
      <c r="F163" s="968" t="n"/>
      <c r="G163" s="968" t="n"/>
      <c r="H163" s="969" t="n"/>
      <c r="I163" s="994" t="inlineStr">
        <is>
          <t>Weaknesses:</t>
        </is>
      </c>
      <c r="J163" s="968" t="n"/>
      <c r="K163" s="969" t="n"/>
      <c r="L163" s="662" t="n"/>
      <c r="M163" s="949" t="n"/>
      <c r="N163" s="949" t="n"/>
      <c r="O163" s="949" t="n"/>
      <c r="P163" s="949" t="n"/>
      <c r="Q163" s="949" t="n"/>
      <c r="R163" s="950" t="n"/>
    </row>
    <row r="164">
      <c r="B164" s="997" t="inlineStr">
        <is>
          <t>Strong retail distribution (Boots, Sainsbury's, Amazon). High brand recognition. Accessible pricing. Broad product range.</t>
        </is>
      </c>
      <c r="H164" s="924" t="n"/>
      <c r="I164" s="996" t="inlineStr">
        <is>
          <t>Entirely face-focused — no body ritual, no back care, no scalp system. No subscription model. Commodity formulations with no ingredient story.</t>
        </is>
      </c>
      <c r="K164" s="924" t="n"/>
      <c r="L164" s="998" t="n"/>
      <c r="M164" s="921" t="n"/>
      <c r="N164" s="921" t="n"/>
      <c r="O164" s="921" t="n"/>
      <c r="P164" s="921" t="n"/>
      <c r="Q164" s="921" t="n"/>
      <c r="R164" s="922" t="n"/>
    </row>
    <row r="165">
      <c r="B165" s="923" t="n"/>
      <c r="H165" s="924" t="n"/>
      <c r="I165" s="923" t="n"/>
      <c r="K165" s="924" t="n"/>
      <c r="L165" s="923" t="n"/>
      <c r="R165" s="924" t="n"/>
    </row>
    <row r="166">
      <c r="B166" s="923" t="n"/>
      <c r="H166" s="924" t="n"/>
      <c r="I166" s="923" t="n"/>
      <c r="K166" s="924" t="n"/>
      <c r="L166" s="923" t="n"/>
      <c r="R166" s="924" t="n"/>
    </row>
    <row r="167">
      <c r="B167" s="923" t="n"/>
      <c r="H167" s="924" t="n"/>
      <c r="I167" s="923" t="n"/>
      <c r="K167" s="924" t="n"/>
      <c r="L167" s="923" t="n"/>
      <c r="R167" s="924" t="n"/>
    </row>
    <row r="168">
      <c r="B168" s="923" t="n"/>
      <c r="H168" s="924" t="n"/>
      <c r="I168" s="923" t="n"/>
      <c r="K168" s="924" t="n"/>
      <c r="L168" s="923" t="n"/>
      <c r="R168" s="924" t="n"/>
    </row>
    <row r="169" ht="14.5" customHeight="1" thickBot="1">
      <c r="B169" s="923" t="n"/>
      <c r="H169" s="924" t="n"/>
      <c r="I169" s="923" t="n"/>
      <c r="K169" s="924" t="n"/>
      <c r="L169" s="932" t="n"/>
      <c r="M169" s="928" t="n"/>
      <c r="N169" s="928" t="n"/>
      <c r="O169" s="928" t="n"/>
      <c r="P169" s="928" t="n"/>
      <c r="Q169" s="928" t="n"/>
      <c r="R169" s="929" t="n"/>
    </row>
    <row r="170" ht="14.15" customHeight="1">
      <c r="B170" s="990" t="inlineStr">
        <is>
          <t>Competitor 2:</t>
        </is>
      </c>
      <c r="C170" s="977" t="n"/>
      <c r="D170" s="977" t="n"/>
      <c r="E170" s="977" t="n"/>
      <c r="F170" s="977" t="n"/>
      <c r="G170" s="977" t="n"/>
      <c r="H170" s="977" t="n"/>
      <c r="I170" s="977" t="n"/>
      <c r="J170" s="977" t="n"/>
      <c r="K170" s="978" t="n"/>
      <c r="L170" s="671" t="n"/>
      <c r="M170" s="921" t="n"/>
      <c r="N170" s="921" t="n"/>
      <c r="O170" s="921" t="n"/>
      <c r="P170" s="921" t="n"/>
      <c r="Q170" s="921" t="n"/>
      <c r="R170" s="922" t="n"/>
    </row>
    <row r="171" ht="14.5" customHeight="1" thickBot="1">
      <c r="B171" s="991" t="n"/>
      <c r="K171" s="992" t="n"/>
      <c r="R171" s="924" t="n"/>
    </row>
    <row r="172" ht="30" customHeight="1" thickBot="1">
      <c r="B172" s="993" t="inlineStr">
        <is>
          <t>Name, location, website:</t>
        </is>
      </c>
      <c r="C172" s="968" t="n"/>
      <c r="D172" s="968" t="n"/>
      <c r="E172" s="968" t="n"/>
      <c r="F172" s="968" t="n"/>
      <c r="G172" s="968" t="n"/>
      <c r="H172" s="969" t="n"/>
      <c r="I172" s="994" t="inlineStr">
        <is>
          <t>Average prices:</t>
        </is>
      </c>
      <c r="J172" s="968" t="n"/>
      <c r="K172" s="969" t="n"/>
      <c r="L172" s="662" t="n"/>
      <c r="M172" s="949" t="n"/>
      <c r="N172" s="949" t="n"/>
      <c r="O172" s="949" t="n"/>
      <c r="P172" s="949" t="n"/>
      <c r="Q172" s="949" t="n"/>
      <c r="R172" s="950" t="n"/>
    </row>
    <row r="173">
      <c r="B173" s="663" t="inlineStr">
        <is>
          <t>Patricks Men's Grooming — UK — patricksbrands.com</t>
        </is>
      </c>
      <c r="I173" s="999" t="inlineStr">
        <is>
          <t>£25-55/product</t>
        </is>
      </c>
      <c r="J173" s="977" t="n"/>
      <c r="K173" s="978" t="n"/>
      <c r="L173" s="1000" t="n"/>
      <c r="M173" s="921" t="n"/>
      <c r="N173" s="921" t="n"/>
      <c r="O173" s="921" t="n"/>
      <c r="P173" s="921" t="n"/>
      <c r="Q173" s="921" t="n"/>
      <c r="R173" s="922" t="n"/>
    </row>
    <row r="174">
      <c r="B174" s="923" t="n"/>
      <c r="I174" s="991" t="n"/>
      <c r="K174" s="992" t="n"/>
      <c r="R174" s="924" t="n"/>
    </row>
    <row r="175">
      <c r="B175" s="923" t="n"/>
      <c r="I175" s="991" t="n"/>
      <c r="K175" s="992" t="n"/>
      <c r="R175" s="924" t="n"/>
    </row>
    <row r="176">
      <c r="B176" s="923" t="n"/>
      <c r="I176" s="991" t="n"/>
      <c r="K176" s="992" t="n"/>
      <c r="R176" s="924" t="n"/>
    </row>
    <row r="177">
      <c r="B177" s="923" t="n"/>
      <c r="I177" s="991" t="n"/>
      <c r="K177" s="992" t="n"/>
      <c r="R177" s="924" t="n"/>
    </row>
    <row r="178" ht="14.5" customHeight="1" thickBot="1">
      <c r="B178" s="923" t="n"/>
      <c r="I178" s="980" t="n"/>
      <c r="J178" s="981" t="n"/>
      <c r="K178" s="982" t="n"/>
      <c r="L178" s="928" t="n"/>
      <c r="M178" s="928" t="n"/>
      <c r="N178" s="928" t="n"/>
      <c r="O178" s="928" t="n"/>
      <c r="P178" s="928" t="n"/>
      <c r="Q178" s="928" t="n"/>
      <c r="R178" s="929" t="n"/>
    </row>
    <row r="179" ht="30" customHeight="1" thickBot="1">
      <c r="B179" s="993" t="inlineStr">
        <is>
          <t>Strengths:</t>
        </is>
      </c>
      <c r="C179" s="968" t="n"/>
      <c r="D179" s="968" t="n"/>
      <c r="E179" s="968" t="n"/>
      <c r="F179" s="968" t="n"/>
      <c r="G179" s="968" t="n"/>
      <c r="H179" s="969" t="n"/>
      <c r="I179" s="678" t="inlineStr">
        <is>
          <t>Weaknesses:</t>
        </is>
      </c>
      <c r="K179" s="924" t="n"/>
      <c r="L179" s="971" t="n"/>
      <c r="M179" s="949" t="n"/>
      <c r="N179" s="949" t="n"/>
      <c r="O179" s="949" t="n"/>
      <c r="P179" s="949" t="n"/>
      <c r="Q179" s="949" t="n"/>
      <c r="R179" s="950" t="n"/>
    </row>
    <row r="180">
      <c r="B180" s="995" t="inlineStr">
        <is>
          <t>Premium positioning. High-quality formulations. Strong DTC brand and online sales.</t>
        </is>
      </c>
      <c r="H180" s="924" t="n"/>
      <c r="I180" s="996" t="inlineStr">
        <is>
          <t>Hair-focused only. No body ritual. No subscription. No multi-product bundle.</t>
        </is>
      </c>
      <c r="K180" s="924" t="n"/>
      <c r="L180" s="998" t="n"/>
      <c r="M180" s="921" t="n"/>
      <c r="N180" s="921" t="n"/>
      <c r="O180" s="921" t="n"/>
      <c r="P180" s="921" t="n"/>
      <c r="Q180" s="921" t="n"/>
      <c r="R180" s="922" t="n"/>
    </row>
    <row r="181">
      <c r="B181" s="923" t="n"/>
      <c r="H181" s="924" t="n"/>
      <c r="I181" s="923" t="n"/>
      <c r="K181" s="924" t="n"/>
      <c r="L181" s="923" t="n"/>
      <c r="R181" s="924" t="n"/>
    </row>
    <row r="182">
      <c r="B182" s="923" t="n"/>
      <c r="H182" s="924" t="n"/>
      <c r="I182" s="923" t="n"/>
      <c r="K182" s="924" t="n"/>
      <c r="L182" s="923" t="n"/>
      <c r="R182" s="924" t="n"/>
    </row>
    <row r="183">
      <c r="B183" s="923" t="n"/>
      <c r="H183" s="924" t="n"/>
      <c r="I183" s="923" t="n"/>
      <c r="K183" s="924" t="n"/>
      <c r="L183" s="923" t="n"/>
      <c r="R183" s="924" t="n"/>
    </row>
    <row r="184">
      <c r="B184" s="923" t="n"/>
      <c r="H184" s="924" t="n"/>
      <c r="I184" s="923" t="n"/>
      <c r="K184" s="924" t="n"/>
      <c r="L184" s="923" t="n"/>
      <c r="R184" s="924" t="n"/>
    </row>
    <row r="185" ht="14.5" customHeight="1" thickBot="1">
      <c r="B185" s="923" t="n"/>
      <c r="H185" s="924" t="n"/>
      <c r="I185" s="923" t="n"/>
      <c r="K185" s="924" t="n"/>
      <c r="L185" s="932" t="n"/>
      <c r="M185" s="928" t="n"/>
      <c r="N185" s="928" t="n"/>
      <c r="O185" s="928" t="n"/>
      <c r="P185" s="928" t="n"/>
      <c r="Q185" s="928" t="n"/>
      <c r="R185" s="929" t="n"/>
    </row>
    <row r="186" ht="14.15" customHeight="1">
      <c r="B186" s="990" t="inlineStr">
        <is>
          <t>Your business:</t>
        </is>
      </c>
      <c r="C186" s="977" t="n"/>
      <c r="D186" s="977" t="n"/>
      <c r="E186" s="977" t="n"/>
      <c r="F186" s="977" t="n"/>
      <c r="G186" s="977" t="n"/>
      <c r="H186" s="977" t="n"/>
      <c r="I186" s="977" t="n"/>
      <c r="J186" s="977" t="n"/>
      <c r="K186" s="978" t="n"/>
      <c r="L186" s="671" t="n"/>
      <c r="M186" s="921" t="n"/>
      <c r="N186" s="921" t="n"/>
      <c r="O186" s="921" t="n"/>
      <c r="P186" s="921" t="n"/>
      <c r="Q186" s="921" t="n"/>
      <c r="R186" s="922" t="n"/>
    </row>
    <row r="187" ht="14.5" customHeight="1" thickBot="1">
      <c r="B187" s="991" t="n"/>
      <c r="K187" s="992" t="n"/>
      <c r="R187" s="924" t="n"/>
    </row>
    <row r="188" ht="30" customHeight="1" thickBot="1">
      <c r="B188" s="1001" t="inlineStr">
        <is>
          <t>What sets your business apart from your competitors?</t>
        </is>
      </c>
      <c r="C188" s="968" t="n"/>
      <c r="D188" s="968" t="n"/>
      <c r="E188" s="968" t="n"/>
      <c r="F188" s="968" t="n"/>
      <c r="G188" s="968" t="n"/>
      <c r="H188" s="968" t="n"/>
      <c r="I188" s="968" t="n"/>
      <c r="J188" s="968" t="n"/>
      <c r="K188" s="969" t="n"/>
      <c r="L188" s="662" t="n"/>
      <c r="M188" s="949" t="n"/>
      <c r="N188" s="949" t="n"/>
      <c r="O188" s="949" t="n"/>
      <c r="P188" s="949" t="n"/>
      <c r="Q188" s="949" t="n"/>
      <c r="R188" s="950" t="n"/>
    </row>
    <row r="189">
      <c r="B189" s="1002" t="inlineStr">
        <is>
          <t>SOLUM is the only brand with a complete sequenced daily + weekly body ritual system. Global ingredient curation — Korean exfoliation, Moroccan mineral clay, UK amino acid wash — presented as one system. Subscription model with 15.3x LTV:CAC and £428 GP per customer. Profitable from transaction one. 180 pre-launch waitlist members. Meta-experienced founder.</t>
        </is>
      </c>
      <c r="C189" s="977" t="n"/>
      <c r="D189" s="977" t="n"/>
      <c r="E189" s="977" t="n"/>
      <c r="F189" s="977" t="n"/>
      <c r="G189" s="977" t="n"/>
      <c r="H189" s="977" t="n"/>
      <c r="I189" s="977" t="n"/>
      <c r="J189" s="977" t="n"/>
      <c r="K189" s="978" t="n"/>
      <c r="L189" s="1000" t="n"/>
      <c r="M189" s="921" t="n"/>
      <c r="N189" s="921" t="n"/>
      <c r="O189" s="921" t="n"/>
      <c r="P189" s="921" t="n"/>
      <c r="Q189" s="921" t="n"/>
      <c r="R189" s="922" t="n"/>
    </row>
    <row r="190">
      <c r="B190" s="991" t="n"/>
      <c r="K190" s="992" t="n"/>
      <c r="R190" s="924" t="n"/>
    </row>
    <row r="191">
      <c r="B191" s="991" t="n"/>
      <c r="K191" s="992" t="n"/>
      <c r="R191" s="924" t="n"/>
    </row>
    <row r="192" ht="14.5" customHeight="1" thickBot="1">
      <c r="B192" s="980" t="n"/>
      <c r="C192" s="981" t="n"/>
      <c r="D192" s="981" t="n"/>
      <c r="E192" s="981" t="n"/>
      <c r="F192" s="981" t="n"/>
      <c r="G192" s="981" t="n"/>
      <c r="H192" s="981" t="n"/>
      <c r="I192" s="981" t="n"/>
      <c r="J192" s="981" t="n"/>
      <c r="K192" s="982" t="n"/>
      <c r="L192" s="928" t="n"/>
      <c r="M192" s="928" t="n"/>
      <c r="N192" s="928" t="n"/>
      <c r="O192" s="928" t="n"/>
      <c r="P192" s="928" t="n"/>
      <c r="Q192" s="928" t="n"/>
      <c r="R192" s="929" t="n"/>
    </row>
    <row r="193" ht="30" customHeight="1" thickBot="1">
      <c r="B193" s="993" t="inlineStr">
        <is>
          <t>Your strengths:</t>
        </is>
      </c>
      <c r="C193" s="968" t="n"/>
      <c r="D193" s="968" t="n"/>
      <c r="E193" s="968" t="n"/>
      <c r="F193" s="968" t="n"/>
      <c r="G193" s="968" t="n"/>
      <c r="H193" s="969" t="n"/>
      <c r="I193" s="994" t="inlineStr">
        <is>
          <t>Your weaknesses:</t>
        </is>
      </c>
      <c r="J193" s="968" t="n"/>
      <c r="K193" s="969" t="n"/>
      <c r="L193" s="662" t="n"/>
      <c r="M193" s="949" t="n"/>
      <c r="N193" s="949" t="n"/>
      <c r="O193" s="949" t="n"/>
      <c r="P193" s="949" t="n"/>
      <c r="Q193" s="949" t="n"/>
      <c r="R193" s="950" t="n"/>
    </row>
    <row r="194">
      <c r="B194" s="1002" t="inlineStr">
        <is>
          <t>Only complete men's body ritual system. High margins 69-70% first kit, 48-64% refills. Subscription 15.3x LTV:CAC. Self-funded from Month 1. Founder 20+ years tech/banking + Meta digital marketing expertise. 180 pre-launch waitlist — validated demand.</t>
        </is>
      </c>
      <c r="C194" s="977" t="n"/>
      <c r="D194" s="977" t="n"/>
      <c r="E194" s="977" t="n"/>
      <c r="F194" s="977" t="n"/>
      <c r="G194" s="977" t="n"/>
      <c r="H194" s="978" t="n"/>
      <c r="I194" s="1002" t="inlineStr">
        <is>
          <t>Pre-revenue — no trading history. Single founder, Year 1 capacity constrained. No retail presence — 100% online acquisition Year 1. Small initial inventory.</t>
        </is>
      </c>
      <c r="J194" s="977" t="n"/>
      <c r="K194" s="978" t="n"/>
      <c r="L194" s="1000" t="n"/>
      <c r="M194" s="921" t="n"/>
      <c r="N194" s="921" t="n"/>
      <c r="O194" s="921" t="n"/>
      <c r="P194" s="921" t="n"/>
      <c r="Q194" s="921" t="n"/>
      <c r="R194" s="922" t="n"/>
    </row>
    <row r="195">
      <c r="B195" s="991" t="n"/>
      <c r="H195" s="992" t="n"/>
      <c r="I195" s="991" t="n"/>
      <c r="K195" s="992" t="n"/>
      <c r="R195" s="924" t="n"/>
    </row>
    <row r="196">
      <c r="B196" s="991" t="n"/>
      <c r="H196" s="992" t="n"/>
      <c r="I196" s="991" t="n"/>
      <c r="K196" s="992" t="n"/>
      <c r="R196" s="924" t="n"/>
    </row>
    <row r="197" ht="14.5" customHeight="1" thickBot="1">
      <c r="B197" s="980" t="n"/>
      <c r="C197" s="981" t="n"/>
      <c r="D197" s="981" t="n"/>
      <c r="E197" s="981" t="n"/>
      <c r="F197" s="981" t="n"/>
      <c r="G197" s="981" t="n"/>
      <c r="H197" s="982" t="n"/>
      <c r="I197" s="980" t="n"/>
      <c r="J197" s="981" t="n"/>
      <c r="K197" s="982" t="n"/>
      <c r="L197" s="928" t="n"/>
      <c r="M197" s="928" t="n"/>
      <c r="N197" s="928" t="n"/>
      <c r="O197" s="928" t="n"/>
      <c r="P197" s="928" t="n"/>
      <c r="Q197" s="928" t="n"/>
      <c r="R197" s="929" t="n"/>
    </row>
    <row r="198" ht="30" customHeight="1" thickBot="1">
      <c r="B198" s="993" t="inlineStr">
        <is>
          <t>Current or future opportunities:</t>
        </is>
      </c>
      <c r="C198" s="968" t="n"/>
      <c r="D198" s="968" t="n"/>
      <c r="E198" s="968" t="n"/>
      <c r="F198" s="968" t="n"/>
      <c r="G198" s="968" t="n"/>
      <c r="H198" s="969" t="n"/>
      <c r="I198" s="994" t="inlineStr">
        <is>
          <t>Current or future threats:</t>
        </is>
      </c>
      <c r="J198" s="968" t="n"/>
      <c r="K198" s="969" t="n"/>
      <c r="L198" s="649" t="n"/>
      <c r="M198" s="949" t="n"/>
      <c r="N198" s="949" t="n"/>
      <c r="O198" s="949" t="n"/>
      <c r="P198" s="949" t="n"/>
      <c r="Q198" s="949" t="n"/>
      <c r="R198" s="950" t="n"/>
    </row>
    <row r="199">
      <c r="B199" s="1002" t="inlineStr">
        <is>
          <t>Growing men's wellness category (6% YoY UK). Instagram/TikTok education content gap — first-mover advantage. Athlete/sports gifting segment. Retail (Boots, John Lewis) Years 4-5.</t>
        </is>
      </c>
      <c r="C199" s="977" t="n"/>
      <c r="D199" s="977" t="n"/>
      <c r="E199" s="977" t="n"/>
      <c r="F199" s="977" t="n"/>
      <c r="G199" s="977" t="n"/>
      <c r="H199" s="978" t="n"/>
      <c r="I199" s="1002" t="inlineStr">
        <is>
          <t>Established brands could copy the ritual concept. Supplier lead time delays. Rising Meta ad costs. Consumer spending pressure on discretionary grooming.</t>
        </is>
      </c>
      <c r="J199" s="977" t="n"/>
      <c r="K199" s="978" t="n"/>
      <c r="L199" s="1003" t="n"/>
      <c r="M199" s="921" t="n"/>
      <c r="N199" s="921" t="n"/>
      <c r="O199" s="921" t="n"/>
      <c r="P199" s="921" t="n"/>
      <c r="Q199" s="921" t="n"/>
      <c r="R199" s="922" t="n"/>
    </row>
    <row r="200">
      <c r="B200" s="991" t="n"/>
      <c r="H200" s="992" t="n"/>
      <c r="I200" s="991" t="n"/>
      <c r="K200" s="992" t="n"/>
      <c r="R200" s="924" t="n"/>
    </row>
    <row r="201">
      <c r="B201" s="991" t="n"/>
      <c r="H201" s="992" t="n"/>
      <c r="I201" s="991" t="n"/>
      <c r="K201" s="992" t="n"/>
      <c r="R201" s="924" t="n"/>
    </row>
    <row r="202" ht="14.5" customHeight="1" thickBot="1">
      <c r="B202" s="980" t="n"/>
      <c r="C202" s="981" t="n"/>
      <c r="D202" s="981" t="n"/>
      <c r="E202" s="981" t="n"/>
      <c r="F202" s="981" t="n"/>
      <c r="G202" s="981" t="n"/>
      <c r="H202" s="982" t="n"/>
      <c r="I202" s="980" t="n"/>
      <c r="J202" s="981" t="n"/>
      <c r="K202" s="982" t="n"/>
      <c r="L202" s="928" t="n"/>
      <c r="M202" s="928" t="n"/>
      <c r="N202" s="928" t="n"/>
      <c r="O202" s="928" t="n"/>
      <c r="P202" s="928" t="n"/>
      <c r="Q202" s="928" t="n"/>
      <c r="R202" s="929" t="n"/>
    </row>
    <row r="203">
      <c r="B203" s="708" t="n"/>
      <c r="C203" s="708" t="n"/>
      <c r="D203" s="708" t="n"/>
      <c r="E203" s="708" t="n"/>
      <c r="F203" s="708" t="n"/>
      <c r="L203" s="708" t="n"/>
      <c r="M203" s="708" t="n"/>
      <c r="N203" s="708" t="n"/>
      <c r="O203" s="708" t="n"/>
      <c r="P203" s="708" t="n"/>
      <c r="Q203" s="298" t="n"/>
      <c r="R203" s="298" t="n"/>
    </row>
    <row r="204" ht="14.5" customHeight="1" thickBot="1">
      <c r="B204" s="708" t="n"/>
      <c r="C204" s="708" t="n"/>
      <c r="D204" s="708" t="n"/>
      <c r="E204" s="708" t="n"/>
      <c r="F204" s="708" t="n"/>
      <c r="L204" s="708" t="n"/>
      <c r="M204" s="708" t="n"/>
      <c r="N204" s="708" t="n"/>
      <c r="O204" s="708" t="n"/>
      <c r="P204" s="708" t="n"/>
      <c r="Q204" s="298" t="n"/>
      <c r="R204" s="298" t="n"/>
    </row>
    <row r="205" ht="14.15" customHeight="1">
      <c r="B205" s="1004" t="inlineStr">
        <is>
          <t>5. Your sales and marketing plans</t>
        </is>
      </c>
      <c r="K205" s="924" t="n"/>
      <c r="L205" s="975" t="inlineStr">
        <is>
          <t>Guidance</t>
        </is>
      </c>
      <c r="M205" s="921" t="n"/>
      <c r="N205" s="921" t="n"/>
      <c r="O205" s="921" t="n"/>
      <c r="P205" s="921" t="n"/>
      <c r="Q205" s="921" t="n"/>
      <c r="R205" s="922" t="n"/>
    </row>
    <row r="206" ht="14.15" customHeight="1">
      <c r="B206" s="1005" t="n"/>
      <c r="K206" s="924" t="n"/>
      <c r="L206" s="923" t="n"/>
      <c r="R206" s="924" t="n"/>
    </row>
    <row r="207" ht="14.65" customHeight="1" thickBot="1">
      <c r="B207" s="1005" t="n"/>
      <c r="K207" s="924" t="n"/>
      <c r="L207" s="923" t="n"/>
      <c r="R207" s="924" t="n"/>
    </row>
    <row r="208" ht="30" customHeight="1" thickBot="1">
      <c r="B208" s="993" t="inlineStr">
        <is>
          <t>How do you/ will you promote your business?</t>
        </is>
      </c>
      <c r="C208" s="968" t="n"/>
      <c r="D208" s="968" t="n"/>
      <c r="E208" s="968" t="n"/>
      <c r="F208" s="968" t="n"/>
      <c r="G208" s="968" t="n"/>
      <c r="H208" s="968" t="n"/>
      <c r="I208" s="968" t="n"/>
      <c r="J208" s="968" t="n"/>
      <c r="K208" s="969" t="n"/>
      <c r="L208" s="1006" t="n"/>
      <c r="M208" s="977" t="n"/>
      <c r="N208" s="977" t="n"/>
      <c r="O208" s="977" t="n"/>
      <c r="P208" s="977" t="n"/>
      <c r="Q208" s="977" t="n"/>
      <c r="R208" s="978" t="n"/>
    </row>
    <row r="209" ht="14.15" customHeight="1">
      <c r="B209" s="1007" t="inlineStr">
        <is>
          <t>1. Website (e-commerce) bysolum.co.uk — Stripe payment processing, subscription billing, conversion rate target 2.5%. KPI: CVR, AOV.
2. Paid social Meta/Instagram (primary): £750/mo months 1-3 scaling to £2,000/mo months 7-12. Education-first creatives. Audience: men 25-45 UK, fitness. CAC target £28, ROAS 3.5x.
3. Instagram organic: 3 posts/week, education-first. Target 500 followers Month 3, 2,000 Month 6.
4. TikTok organic: short-form education reels, unpaid. KPI: views and saves.
5. Athlete/gifting: 35-50 kits gifted at launch to amateur footballers/gym influencers, unique discount codes for attribution.
6. Email: post-purchase ritual education sequence (5 emails/14 days), refill reminders, churn recovery flows.</t>
        </is>
      </c>
      <c r="C209" s="977" t="n"/>
      <c r="D209" s="977" t="n"/>
      <c r="E209" s="977" t="n"/>
      <c r="F209" s="977" t="n"/>
      <c r="G209" s="977" t="n"/>
      <c r="H209" s="977" t="n"/>
      <c r="I209" s="977" t="n"/>
      <c r="J209" s="977" t="n"/>
      <c r="K209" s="977" t="n"/>
      <c r="L209" s="1008" t="inlineStr">
        <is>
          <t xml:space="preserve">·   Website (information only)
·   Website (for e-commerce)
·   Advertising (online)
·   Advertising (print, radio, TV)
·   Search engine marketing
·   Social media
·   Retail outlets
·   Telesales
·   Referrals
·   Leaflets
·   Events and exhibitions
·   PR
·   Other
Determine the KPIs for this mission. Describes how you will track the performance of your marketing activities. To do so, you'll need to determine your key performance indicators, or "KPIs" for short.
Describe your content initiatives and strategies. Which types of content you'll create. These can include blog posts, YouTube videos, infographics, ebooks, and more. Define the goals (and KPIs) you'll use to track each type. Consider the channels on which you'll distribute this content. Some popular channels at your disposal include Facebook, Twitter, LinkedIn, YouTube, and Instagram. Define your marketing budget. Your content strategy might leverage many free channels and platforms, but there are a number of hidden expenses to a marketing plan that need to be accounted for (for example, contractor fees).
</t>
        </is>
      </c>
      <c r="M209" s="977" t="n"/>
      <c r="N209" s="977" t="n"/>
      <c r="O209" s="977" t="n"/>
      <c r="P209" s="977" t="n"/>
      <c r="Q209" s="977" t="n"/>
      <c r="R209" s="978" t="n"/>
    </row>
    <row r="210">
      <c r="B210" s="991" t="n"/>
      <c r="L210" s="991" t="n"/>
      <c r="R210" s="992" t="n"/>
    </row>
    <row r="211">
      <c r="B211" s="991" t="n"/>
      <c r="L211" s="991" t="n"/>
      <c r="R211" s="992" t="n"/>
    </row>
    <row r="212">
      <c r="B212" s="991" t="n"/>
      <c r="L212" s="991" t="n"/>
      <c r="R212" s="992" t="n"/>
    </row>
    <row r="213">
      <c r="B213" s="991" t="n"/>
      <c r="L213" s="991" t="n"/>
      <c r="R213" s="992" t="n"/>
    </row>
    <row r="214">
      <c r="B214" s="991" t="n"/>
      <c r="L214" s="991" t="n"/>
      <c r="R214" s="992" t="n"/>
    </row>
    <row r="215">
      <c r="B215" s="991" t="n"/>
      <c r="L215" s="991" t="n"/>
      <c r="R215" s="992" t="n"/>
    </row>
    <row r="216">
      <c r="B216" s="991" t="n"/>
      <c r="L216" s="991" t="n"/>
      <c r="R216" s="992" t="n"/>
    </row>
    <row r="217">
      <c r="B217" s="991" t="n"/>
      <c r="L217" s="991" t="n"/>
      <c r="R217" s="992" t="n"/>
    </row>
    <row r="218">
      <c r="B218" s="991" t="n"/>
      <c r="L218" s="991" t="n"/>
      <c r="R218" s="992" t="n"/>
    </row>
    <row r="219">
      <c r="B219" s="991" t="n"/>
      <c r="L219" s="991" t="n"/>
      <c r="R219" s="992" t="n"/>
    </row>
    <row r="220">
      <c r="B220" s="991" t="n"/>
      <c r="L220" s="991" t="n"/>
      <c r="R220" s="992" t="n"/>
    </row>
    <row r="221">
      <c r="B221" s="991" t="n"/>
      <c r="L221" s="991" t="n"/>
      <c r="R221" s="992" t="n"/>
    </row>
    <row r="222">
      <c r="B222" s="991" t="n"/>
      <c r="L222" s="991" t="n"/>
      <c r="R222" s="992" t="n"/>
    </row>
    <row r="223">
      <c r="B223" s="991" t="n"/>
      <c r="L223" s="991" t="n"/>
      <c r="R223" s="992" t="n"/>
    </row>
    <row r="224">
      <c r="B224" s="991" t="n"/>
      <c r="L224" s="991" t="n"/>
      <c r="R224" s="992" t="n"/>
    </row>
    <row r="225">
      <c r="B225" s="991" t="n"/>
      <c r="L225" s="991" t="n"/>
      <c r="R225" s="992" t="n"/>
    </row>
    <row r="226">
      <c r="B226" s="991" t="n"/>
      <c r="L226" s="991" t="n"/>
      <c r="R226" s="992" t="n"/>
    </row>
    <row r="227">
      <c r="B227" s="991" t="n"/>
      <c r="L227" s="991" t="n"/>
      <c r="R227" s="992" t="n"/>
    </row>
    <row r="228">
      <c r="B228" s="991" t="n"/>
      <c r="L228" s="991" t="n"/>
      <c r="R228" s="992" t="n"/>
    </row>
    <row r="229">
      <c r="B229" s="991" t="n"/>
      <c r="L229" s="991" t="n"/>
      <c r="R229" s="992" t="n"/>
    </row>
    <row r="230">
      <c r="B230" s="991" t="n"/>
      <c r="L230" s="991" t="n"/>
      <c r="R230" s="992" t="n"/>
    </row>
    <row r="231">
      <c r="B231" s="991" t="n"/>
      <c r="L231" s="991" t="n"/>
      <c r="R231" s="992" t="n"/>
    </row>
    <row r="232">
      <c r="B232" s="991" t="n"/>
      <c r="L232" s="991" t="n"/>
      <c r="R232" s="992" t="n"/>
    </row>
    <row r="233">
      <c r="B233" s="991" t="n"/>
      <c r="L233" s="991" t="n"/>
      <c r="R233" s="992" t="n"/>
    </row>
    <row r="234" ht="14.5" customHeight="1" thickBot="1">
      <c r="B234" s="980" t="n"/>
      <c r="C234" s="981" t="n"/>
      <c r="D234" s="981" t="n"/>
      <c r="E234" s="981" t="n"/>
      <c r="F234" s="981" t="n"/>
      <c r="G234" s="981" t="n"/>
      <c r="H234" s="981" t="n"/>
      <c r="I234" s="981" t="n"/>
      <c r="J234" s="981" t="n"/>
      <c r="K234" s="981" t="n"/>
      <c r="L234" s="980" t="n"/>
      <c r="M234" s="981" t="n"/>
      <c r="N234" s="981" t="n"/>
      <c r="O234" s="981" t="n"/>
      <c r="P234" s="981" t="n"/>
      <c r="Q234" s="981" t="n"/>
      <c r="R234" s="982" t="n"/>
    </row>
    <row r="235">
      <c r="B235" s="298" t="n"/>
      <c r="C235" s="298" t="n"/>
      <c r="D235" s="298" t="n"/>
      <c r="E235" s="298" t="n"/>
      <c r="F235" s="298" t="n"/>
      <c r="L235" s="298" t="n"/>
      <c r="M235" s="298" t="n"/>
      <c r="N235" s="298" t="n"/>
      <c r="O235" s="298" t="n"/>
      <c r="P235" s="298" t="n"/>
      <c r="Q235" s="298" t="n"/>
      <c r="R235" s="298" t="n"/>
    </row>
    <row r="236" ht="14.5" customHeight="1" thickBot="1">
      <c r="B236" s="298" t="n"/>
      <c r="C236" s="298" t="n"/>
      <c r="D236" s="298" t="n"/>
      <c r="E236" s="298" t="n"/>
      <c r="F236" s="298" t="n"/>
      <c r="L236" s="298" t="n"/>
      <c r="M236" s="298" t="n"/>
      <c r="N236" s="298" t="n"/>
      <c r="O236" s="298" t="n"/>
      <c r="P236" s="298" t="n"/>
      <c r="Q236" s="298" t="n"/>
      <c r="R236" s="298" t="n"/>
    </row>
    <row r="237" ht="14.15" customHeight="1">
      <c r="B237" s="1009" t="inlineStr">
        <is>
          <t>6. Your operational plans</t>
        </is>
      </c>
      <c r="C237" s="977" t="n"/>
      <c r="D237" s="977" t="n"/>
      <c r="E237" s="977" t="n"/>
      <c r="F237" s="977" t="n"/>
      <c r="G237" s="977" t="n"/>
      <c r="H237" s="977" t="n"/>
      <c r="I237" s="977" t="n"/>
      <c r="J237" s="977" t="n"/>
      <c r="K237" s="978" t="n"/>
      <c r="L237" s="1010" t="inlineStr">
        <is>
          <t>Guidance</t>
        </is>
      </c>
      <c r="M237" s="921" t="n"/>
      <c r="N237" s="921" t="n"/>
      <c r="O237" s="921" t="n"/>
      <c r="P237" s="921" t="n"/>
      <c r="Q237" s="921" t="n"/>
      <c r="R237" s="922" t="n"/>
    </row>
    <row r="238" ht="14.15" customHeight="1">
      <c r="B238" s="991" t="n"/>
      <c r="K238" s="992" t="n"/>
      <c r="R238" s="924" t="n"/>
    </row>
    <row r="239" ht="14.65" customHeight="1" thickBot="1">
      <c r="B239" s="980" t="n"/>
      <c r="C239" s="981" t="n"/>
      <c r="D239" s="981" t="n"/>
      <c r="E239" s="981" t="n"/>
      <c r="F239" s="981" t="n"/>
      <c r="G239" s="981" t="n"/>
      <c r="H239" s="981" t="n"/>
      <c r="I239" s="981" t="n"/>
      <c r="J239" s="981" t="n"/>
      <c r="K239" s="982" t="n"/>
      <c r="L239" s="928" t="n"/>
      <c r="M239" s="928" t="n"/>
      <c r="N239" s="928" t="n"/>
      <c r="O239" s="928" t="n"/>
      <c r="P239" s="928" t="n"/>
      <c r="Q239" s="928" t="n"/>
      <c r="R239" s="929" t="n"/>
    </row>
    <row r="240" ht="29.15" customHeight="1">
      <c r="B240" s="993" t="inlineStr">
        <is>
          <t>Please provide details of two key suppliers or key relationships that are or will be important to running your business: Detail as relevant in the boxes provided below.</t>
        </is>
      </c>
      <c r="C240" s="977" t="n"/>
      <c r="D240" s="977" t="n"/>
      <c r="E240" s="977" t="n"/>
      <c r="F240" s="977" t="n"/>
      <c r="G240" s="977" t="n"/>
      <c r="H240" s="977" t="n"/>
      <c r="I240" s="977" t="n"/>
      <c r="J240" s="977" t="n"/>
      <c r="K240" s="978" t="n"/>
      <c r="L240" s="624" t="n"/>
      <c r="M240" s="921" t="n"/>
      <c r="N240" s="921" t="n"/>
      <c r="O240" s="921" t="n"/>
      <c r="P240" s="921" t="n"/>
      <c r="Q240" s="921" t="n"/>
      <c r="R240" s="922" t="n"/>
    </row>
    <row r="241" ht="22.15" customHeight="1" thickBot="1">
      <c r="B241" s="980" t="n"/>
      <c r="C241" s="981" t="n"/>
      <c r="D241" s="981" t="n"/>
      <c r="E241" s="981" t="n"/>
      <c r="F241" s="981" t="n"/>
      <c r="G241" s="981" t="n"/>
      <c r="H241" s="981" t="n"/>
      <c r="I241" s="981" t="n"/>
      <c r="J241" s="981" t="n"/>
      <c r="K241" s="982" t="n"/>
      <c r="R241" s="924" t="n"/>
    </row>
    <row r="242">
      <c r="B242" s="990" t="inlineStr">
        <is>
          <t>Supplier / Relationship 1:</t>
        </is>
      </c>
      <c r="C242" s="977" t="n"/>
      <c r="D242" s="977" t="n"/>
      <c r="E242" s="977" t="n"/>
      <c r="F242" s="977" t="n"/>
      <c r="G242" s="977" t="n"/>
      <c r="H242" s="977" t="n"/>
      <c r="I242" s="977" t="n"/>
      <c r="J242" s="977" t="n"/>
      <c r="K242" s="978" t="n"/>
      <c r="L242" s="990" t="n"/>
      <c r="M242" s="977" t="n"/>
      <c r="N242" s="977" t="n"/>
      <c r="O242" s="977" t="n"/>
      <c r="P242" s="977" t="n"/>
      <c r="Q242" s="977" t="n"/>
      <c r="R242" s="978" t="n"/>
    </row>
    <row r="243" ht="14.15" customHeight="1" thickBot="1">
      <c r="B243" s="991" t="n"/>
      <c r="K243" s="992" t="n"/>
      <c r="L243" s="991" t="n"/>
      <c r="R243" s="992" t="n"/>
    </row>
    <row r="244" ht="14.15" customHeight="1">
      <c r="B244" s="994" t="inlineStr">
        <is>
          <t>Cosmiko UK — hello@cosmiko.co.uk — 01937 844105</t>
        </is>
      </c>
      <c r="C244" s="977" t="n"/>
      <c r="D244" s="977" t="n"/>
      <c r="E244" s="977" t="n"/>
      <c r="F244" s="978" t="n"/>
      <c r="G244" s="1011" t="inlineStr">
        <is>
          <t>Contact under negotiation — brief sent, samples requested</t>
        </is>
      </c>
      <c r="H244" s="977" t="n"/>
      <c r="I244" s="977" t="n"/>
      <c r="J244" s="977" t="n"/>
      <c r="K244" s="978" t="n"/>
      <c r="L244" s="994" t="n"/>
      <c r="M244" s="977" t="n"/>
      <c r="N244" s="977" t="n"/>
      <c r="O244" s="977" t="n"/>
      <c r="P244" s="977" t="n"/>
      <c r="Q244" s="977" t="n"/>
      <c r="R244" s="978" t="n"/>
    </row>
    <row r="245" ht="14.65" customHeight="1" thickBot="1">
      <c r="B245" s="980" t="n"/>
      <c r="C245" s="981" t="n"/>
      <c r="D245" s="981" t="n"/>
      <c r="E245" s="981" t="n"/>
      <c r="F245" s="982" t="n"/>
      <c r="G245" s="1012" t="inlineStr">
        <is>
          <t>Delete any answers not applicable to you.</t>
        </is>
      </c>
      <c r="H245" s="981" t="n"/>
      <c r="I245" s="981" t="n"/>
      <c r="J245" s="981" t="n"/>
      <c r="K245" s="982" t="n"/>
      <c r="L245" s="980" t="n"/>
      <c r="M245" s="981" t="n"/>
      <c r="N245" s="981" t="n"/>
      <c r="O245" s="981" t="n"/>
      <c r="P245" s="981" t="n"/>
      <c r="Q245" s="981" t="n"/>
      <c r="R245" s="982" t="n"/>
    </row>
    <row r="246" ht="14.15" customHeight="1">
      <c r="B246" s="1013" t="n"/>
      <c r="F246" s="1014" t="n"/>
      <c r="G246" s="1015" t="inlineStr">
        <is>
          <t>·    No contract/commitment</t>
        </is>
      </c>
      <c r="K246" s="1014" t="n"/>
      <c r="L246" s="1016" t="inlineStr">
        <is>
          <t xml:space="preserve">Things to consider may include but not limited to:
- If you need to operate out of a premises, this should be either identified, under negotiation or should already be in place. Ideally, the terms of the lease on the premises should match the terms of the loan (i.e. 5 year loan term = 5 year lease on premises). If not, please explain why this is not a concern and will not impact the viability of the business.
- If you need staff to run your business and achieve your business objectives, recruitment plans should be in place or appropriate individuals already in place. Describe any details related to their employment (e.g. salary, terms, roles and responsibilities etc.)
- If you need equipment or other stock/resources/suppliers to run your business, then it should be clear what is needed, where they are/will be sourced from and any associated terms. Evidence should be provided where necessary. i.e quotes, supplier terms/ agreements
- Demonstrate that you are aware of what tax, legal and insurance regulations affect your business, and where relevant, should that you have made (or be making) the appropriate arrangements to comply with these areas. Again, evidence should be provided as and where required (for example, application for a personal license for opening a bar)
Any operational resources that require financial investment should be clearly and consistently reflected in the Cash Flow Forecast. Supplementary evidence should be provided as and where applicable. </t>
        </is>
      </c>
      <c r="R246" s="1014" t="n"/>
    </row>
    <row r="247" ht="14.15" customHeight="1">
      <c r="B247" s="1005" t="n"/>
      <c r="F247" s="1014" t="n"/>
      <c r="G247" s="1015" t="inlineStr">
        <is>
          <t>·    Contact under negotiation</t>
        </is>
      </c>
      <c r="K247" s="1014" t="n"/>
      <c r="L247" s="1005" t="n"/>
      <c r="R247" s="1014" t="n"/>
    </row>
    <row r="248" ht="14.15" customHeight="1">
      <c r="B248" s="1005" t="n"/>
      <c r="F248" s="1014" t="n"/>
      <c r="G248" s="1015" t="inlineStr">
        <is>
          <t>·    Project-based arrangement</t>
        </is>
      </c>
      <c r="K248" s="1014" t="n"/>
      <c r="L248" s="1005" t="n"/>
      <c r="R248" s="1014" t="n"/>
    </row>
    <row r="249" ht="14.15" customHeight="1">
      <c r="B249" s="1005" t="n"/>
      <c r="F249" s="1014" t="n"/>
      <c r="G249" s="1015" t="inlineStr">
        <is>
          <t>·    Contract or retainer in place</t>
        </is>
      </c>
      <c r="K249" s="1014" t="n"/>
      <c r="L249" s="1005" t="n"/>
      <c r="R249" s="1014" t="n"/>
    </row>
    <row r="250">
      <c r="B250" s="1005" t="n"/>
      <c r="F250" s="1014" t="n"/>
      <c r="G250" s="1015" t="inlineStr">
        <is>
          <t>·    Other</t>
        </is>
      </c>
      <c r="K250" s="1014" t="n"/>
      <c r="L250" s="1005" t="n"/>
      <c r="R250" s="1014" t="n"/>
    </row>
    <row r="251" ht="14.5" customHeight="1" thickBot="1">
      <c r="B251" s="1005" t="n"/>
      <c r="F251" s="1014" t="n"/>
      <c r="G251" s="1017" t="n"/>
      <c r="K251" s="1014" t="n"/>
      <c r="L251" s="1005" t="n"/>
      <c r="R251" s="1014" t="n"/>
    </row>
    <row r="252" ht="14.65" customHeight="1" thickBot="1">
      <c r="B252" s="994" t="inlineStr">
        <is>
          <t>UK manufacture of Product 01 (Amino Acid Body Wash 250ml) and Product 07 (Fast-Absorb Body Lotion 400ml). Bespoke cedarwood/vetiver fragrance. CPSR-ready formulations.</t>
        </is>
      </c>
      <c r="C252" s="968" t="n"/>
      <c r="D252" s="968" t="n"/>
      <c r="E252" s="968" t="n"/>
      <c r="F252" s="969" t="n"/>
      <c r="G252" s="994" t="inlineStr">
        <is>
          <t>MOQ 250 units standard, larger MOQ order being placed with this loan. Unit cost: £3.20 (wash), £4.40 (lotion). Lead time 4-6 weeks. Made in UK.</t>
        </is>
      </c>
      <c r="H252" s="968" t="n"/>
      <c r="I252" s="968" t="n"/>
      <c r="J252" s="968" t="n"/>
      <c r="K252" s="969" t="n"/>
      <c r="L252" s="1005" t="n"/>
      <c r="R252" s="1014" t="n"/>
    </row>
    <row r="253">
      <c r="B253" s="577" t="n"/>
      <c r="G253" s="1018" t="n"/>
      <c r="H253" s="977" t="n"/>
      <c r="I253" s="977" t="n"/>
      <c r="J253" s="977" t="n"/>
      <c r="K253" s="978" t="n"/>
      <c r="L253" s="1005" t="n"/>
      <c r="R253" s="1014" t="n"/>
    </row>
    <row r="254">
      <c r="B254" s="1005" t="n"/>
      <c r="G254" s="991" t="n"/>
      <c r="K254" s="992" t="n"/>
      <c r="L254" s="1005" t="n"/>
      <c r="R254" s="1014" t="n"/>
    </row>
    <row r="255">
      <c r="B255" s="1005" t="n"/>
      <c r="G255" s="991" t="n"/>
      <c r="K255" s="992" t="n"/>
      <c r="L255" s="1005" t="n"/>
      <c r="R255" s="1014" t="n"/>
    </row>
    <row r="256">
      <c r="B256" s="1005" t="n"/>
      <c r="G256" s="991" t="n"/>
      <c r="K256" s="992" t="n"/>
      <c r="L256" s="1005" t="n"/>
      <c r="R256" s="1014" t="n"/>
    </row>
    <row r="257">
      <c r="B257" s="1005" t="n"/>
      <c r="G257" s="991" t="n"/>
      <c r="K257" s="992" t="n"/>
      <c r="L257" s="1005" t="n"/>
      <c r="R257" s="1014" t="n"/>
    </row>
    <row r="258" ht="14.5" customHeight="1" thickBot="1">
      <c r="B258" s="1005" t="n"/>
      <c r="G258" s="991" t="n"/>
      <c r="K258" s="992" t="n"/>
      <c r="L258" s="1005" t="n"/>
      <c r="R258" s="1014" t="n"/>
    </row>
    <row r="259">
      <c r="B259" s="990" t="inlineStr">
        <is>
          <t>Supplier / Relationship 2:</t>
        </is>
      </c>
      <c r="C259" s="977" t="n"/>
      <c r="D259" s="977" t="n"/>
      <c r="E259" s="977" t="n"/>
      <c r="F259" s="977" t="n"/>
      <c r="G259" s="977" t="n"/>
      <c r="H259" s="977" t="n"/>
      <c r="I259" s="977" t="n"/>
      <c r="J259" s="977" t="n"/>
      <c r="K259" s="978" t="n"/>
      <c r="L259" s="1005" t="n"/>
      <c r="R259" s="1014" t="n"/>
    </row>
    <row r="260" ht="14.15" customHeight="1" thickBot="1">
      <c r="B260" s="991" t="n"/>
      <c r="K260" s="992" t="n"/>
      <c r="L260" s="1005" t="n"/>
      <c r="R260" s="1014" t="n"/>
    </row>
    <row r="261" ht="17.15" customHeight="1">
      <c r="B261" s="994" t="inlineStr">
        <is>
          <t>Fatima's Garden / Moroccan Organica — contact@fatimasgarden.com — +212 638 876677</t>
        </is>
      </c>
      <c r="C261" s="977" t="n"/>
      <c r="D261" s="977" t="n"/>
      <c r="E261" s="977" t="n"/>
      <c r="F261" s="978" t="n"/>
      <c r="G261" s="1011" t="inlineStr">
        <is>
          <t>Contact under negotiation</t>
        </is>
      </c>
      <c r="H261" s="977" t="n"/>
      <c r="I261" s="977" t="n"/>
      <c r="J261" s="977" t="n"/>
      <c r="K261" s="978" t="n"/>
      <c r="L261" s="1005" t="n"/>
      <c r="R261" s="1014" t="n"/>
    </row>
    <row r="262" ht="14.65" customHeight="1" thickBot="1">
      <c r="B262" s="980" t="n"/>
      <c r="C262" s="981" t="n"/>
      <c r="D262" s="981" t="n"/>
      <c r="E262" s="981" t="n"/>
      <c r="F262" s="982" t="n"/>
      <c r="G262" s="1012" t="inlineStr">
        <is>
          <t>Delete any answers not applicable to you.</t>
        </is>
      </c>
      <c r="H262" s="981" t="n"/>
      <c r="I262" s="981" t="n"/>
      <c r="J262" s="981" t="n"/>
      <c r="K262" s="982" t="n"/>
      <c r="L262" s="1005" t="n"/>
      <c r="R262" s="1014" t="n"/>
    </row>
    <row r="263" ht="14.15" customHeight="1">
      <c r="B263" s="1013" t="n"/>
      <c r="F263" s="1014" t="n"/>
      <c r="G263" s="1015" t="inlineStr">
        <is>
          <t>·    No contract/commitment</t>
        </is>
      </c>
      <c r="K263" s="1014" t="n"/>
      <c r="L263" s="1005" t="n"/>
      <c r="R263" s="1014" t="n"/>
    </row>
    <row r="264" ht="14.15" customHeight="1">
      <c r="B264" s="1005" t="n"/>
      <c r="F264" s="1014" t="n"/>
      <c r="G264" s="1015" t="inlineStr">
        <is>
          <t>·    Contact under negotiation</t>
        </is>
      </c>
      <c r="K264" s="1014" t="n"/>
      <c r="L264" s="1005" t="n"/>
      <c r="R264" s="1014" t="n"/>
    </row>
    <row r="265" ht="14.15" customHeight="1">
      <c r="B265" s="1005" t="n"/>
      <c r="F265" s="1014" t="n"/>
      <c r="G265" s="1015" t="inlineStr">
        <is>
          <t>·    Project-based arrangement</t>
        </is>
      </c>
      <c r="K265" s="1014" t="n"/>
      <c r="L265" s="1005" t="n"/>
      <c r="R265" s="1014" t="n"/>
    </row>
    <row r="266" ht="14.15" customHeight="1">
      <c r="B266" s="1005" t="n"/>
      <c r="F266" s="1014" t="n"/>
      <c r="G266" s="1015" t="inlineStr">
        <is>
          <t>·    Contract or retainer in place</t>
        </is>
      </c>
      <c r="K266" s="1014" t="n"/>
      <c r="L266" s="1005" t="n"/>
      <c r="R266" s="1014" t="n"/>
    </row>
    <row r="267">
      <c r="B267" s="1005" t="n"/>
      <c r="F267" s="1014" t="n"/>
      <c r="G267" s="1015" t="inlineStr">
        <is>
          <t>·    Other</t>
        </is>
      </c>
      <c r="K267" s="1014" t="n"/>
      <c r="L267" s="1005" t="n"/>
      <c r="R267" s="1014" t="n"/>
    </row>
    <row r="268" ht="14.5" customHeight="1" thickBot="1">
      <c r="B268" s="1005" t="n"/>
      <c r="F268" s="1014" t="n"/>
      <c r="G268" s="1013" t="n"/>
      <c r="K268" s="1014" t="n"/>
      <c r="L268" s="1005" t="n"/>
      <c r="R268" s="1014" t="n"/>
    </row>
    <row r="269" ht="14.65" customHeight="1" thickBot="1">
      <c r="B269" s="994" t="inlineStr">
        <is>
          <t>Wholesale: Product 05 (Rhassoul Clay Mask 200g) + Product 06 (Organic Argan Oil 50ml). Certified organic, Morocco origin.</t>
        </is>
      </c>
      <c r="C269" s="968" t="n"/>
      <c r="D269" s="968" t="n"/>
      <c r="E269" s="968" t="n"/>
      <c r="F269" s="969" t="n"/>
      <c r="G269" s="994" t="inlineStr">
        <is>
          <t>MOQ 12 units (Fatima's Garden). Clay £3.50/unit, argan £5.50/unit. Lead time 2-3 weeks. Made in Morocco. Certified organic.</t>
        </is>
      </c>
      <c r="H269" s="968" t="n"/>
      <c r="I269" s="968" t="n"/>
      <c r="J269" s="968" t="n"/>
      <c r="K269" s="969" t="n"/>
      <c r="L269" s="1005" t="n"/>
      <c r="R269" s="1014" t="n"/>
    </row>
    <row r="270">
      <c r="B270" s="1013" t="n"/>
      <c r="F270" s="1014" t="n"/>
      <c r="G270" s="1013" t="n"/>
      <c r="K270" s="1014" t="n"/>
      <c r="L270" s="1005" t="n"/>
      <c r="R270" s="1014" t="n"/>
    </row>
    <row r="271">
      <c r="B271" s="1005" t="n"/>
      <c r="F271" s="1014" t="n"/>
      <c r="G271" s="1005" t="n"/>
      <c r="K271" s="1014" t="n"/>
      <c r="L271" s="1005" t="n"/>
      <c r="R271" s="1014" t="n"/>
    </row>
    <row r="272">
      <c r="B272" s="1005" t="n"/>
      <c r="F272" s="1014" t="n"/>
      <c r="G272" s="1005" t="n"/>
      <c r="K272" s="1014" t="n"/>
      <c r="L272" s="1005" t="n"/>
      <c r="R272" s="1014" t="n"/>
    </row>
    <row r="273">
      <c r="B273" s="1005" t="n"/>
      <c r="F273" s="1014" t="n"/>
      <c r="G273" s="1005" t="n"/>
      <c r="K273" s="1014" t="n"/>
      <c r="L273" s="1005" t="n"/>
      <c r="R273" s="1014" t="n"/>
    </row>
    <row r="274">
      <c r="B274" s="1005" t="n"/>
      <c r="F274" s="1014" t="n"/>
      <c r="G274" s="1005" t="n"/>
      <c r="K274" s="1014" t="n"/>
      <c r="L274" s="1005" t="n"/>
      <c r="R274" s="1014" t="n"/>
    </row>
    <row r="275" ht="14.5" customHeight="1" thickBot="1">
      <c r="B275" s="1005" t="n"/>
      <c r="F275" s="1014" t="n"/>
      <c r="G275" s="1005" t="n"/>
      <c r="K275" s="1014" t="n"/>
      <c r="L275" s="1005" t="n"/>
      <c r="R275" s="1014" t="n"/>
    </row>
    <row r="276">
      <c r="B276" s="990" t="inlineStr">
        <is>
          <t>No staff currently employed. No plans to hire in first 12 months. Business operated solely by founder. First hire projected Year 3 when revenue exceeds £1.6M.</t>
        </is>
      </c>
      <c r="C276" s="977" t="n"/>
      <c r="D276" s="977" t="n"/>
      <c r="E276" s="977" t="n"/>
      <c r="F276" s="977" t="n"/>
      <c r="G276" s="977" t="n"/>
      <c r="H276" s="977" t="n"/>
      <c r="I276" s="977" t="n"/>
      <c r="J276" s="977" t="n"/>
      <c r="K276" s="978" t="n"/>
      <c r="L276" s="1005" t="n"/>
      <c r="R276" s="1014" t="n"/>
    </row>
    <row r="277" ht="14.15" customHeight="1" thickBot="1">
      <c r="B277" s="991" t="n"/>
      <c r="K277" s="992" t="n"/>
      <c r="L277" s="1005" t="n"/>
      <c r="R277" s="1014" t="n"/>
    </row>
    <row r="278" ht="19.4" customHeight="1" thickBot="1">
      <c r="B278" s="1019" t="inlineStr">
        <is>
          <t>Do you currently employ staff?</t>
        </is>
      </c>
      <c r="C278" s="968" t="n"/>
      <c r="D278" s="968" t="n"/>
      <c r="E278" s="968" t="n"/>
      <c r="F278" s="968" t="n"/>
      <c r="G278" s="968" t="n"/>
      <c r="H278" s="968" t="n"/>
      <c r="I278" s="968" t="n"/>
      <c r="J278" s="968" t="n"/>
      <c r="K278" s="969" t="n"/>
      <c r="L278" s="1005" t="n"/>
      <c r="R278" s="1014" t="n"/>
    </row>
    <row r="279" ht="19.4" customHeight="1" thickBot="1">
      <c r="B279" s="979" t="inlineStr">
        <is>
          <t>Delete any answers not applicable to you and provide some description as relevant.</t>
        </is>
      </c>
      <c r="C279" s="968" t="n"/>
      <c r="D279" s="968" t="n"/>
      <c r="E279" s="968" t="n"/>
      <c r="F279" s="968" t="n"/>
      <c r="G279" s="968" t="n"/>
      <c r="H279" s="968" t="n"/>
      <c r="I279" s="968" t="n"/>
      <c r="J279" s="968" t="n"/>
      <c r="K279" s="969" t="n"/>
      <c r="L279" s="1005" t="n"/>
      <c r="R279" s="1014" t="n"/>
    </row>
    <row r="280" ht="14.15" customHeight="1">
      <c r="B280" s="1020" t="inlineStr">
        <is>
          <t>·   Yes (proceed to question A below)</t>
        </is>
      </c>
      <c r="C280" s="977" t="n"/>
      <c r="D280" s="977" t="n"/>
      <c r="E280" s="977" t="n"/>
      <c r="F280" s="977" t="n"/>
      <c r="G280" s="977" t="n"/>
      <c r="H280" s="977" t="n"/>
      <c r="I280" s="977" t="n"/>
      <c r="J280" s="977" t="n"/>
      <c r="K280" s="978" t="n"/>
      <c r="L280" s="1005" t="n"/>
      <c r="R280" s="1014" t="n"/>
    </row>
    <row r="281" ht="14.15" customHeight="1">
      <c r="B281" s="1021" t="inlineStr">
        <is>
          <t>·   Not yet but I have plans to take on staff in the next 12-months (proceed to question B)</t>
        </is>
      </c>
      <c r="K281" s="992" t="n"/>
      <c r="L281" s="1005" t="n"/>
      <c r="R281" s="1014" t="n"/>
    </row>
    <row r="282" ht="14.15" customHeight="1">
      <c r="B282" s="1021" t="inlineStr">
        <is>
          <t>·   No and I have no plans to take on staff in the next 12-months (proceed to next section)</t>
        </is>
      </c>
      <c r="K282" s="992" t="n"/>
      <c r="L282" s="1005" t="n"/>
      <c r="R282" s="1014" t="n"/>
    </row>
    <row r="283">
      <c r="B283" s="1022" t="n"/>
      <c r="K283" s="992" t="n"/>
      <c r="L283" s="1005" t="n"/>
      <c r="R283" s="1014" t="n"/>
    </row>
    <row r="284">
      <c r="B284" s="991" t="n"/>
      <c r="K284" s="992" t="n"/>
      <c r="L284" s="1005" t="n"/>
      <c r="R284" s="1014" t="n"/>
    </row>
    <row r="285">
      <c r="B285" s="991" t="n"/>
      <c r="K285" s="992" t="n"/>
      <c r="L285" s="1005" t="n"/>
      <c r="R285" s="1014" t="n"/>
    </row>
    <row r="286" ht="14.5" customHeight="1" thickBot="1">
      <c r="B286" s="980" t="n"/>
      <c r="C286" s="981" t="n"/>
      <c r="D286" s="981" t="n"/>
      <c r="E286" s="981" t="n"/>
      <c r="F286" s="981" t="n"/>
      <c r="G286" s="981" t="n"/>
      <c r="H286" s="981" t="n"/>
      <c r="I286" s="981" t="n"/>
      <c r="J286" s="981" t="n"/>
      <c r="K286" s="982" t="n"/>
      <c r="L286" s="1005" t="n"/>
      <c r="R286" s="1014" t="n"/>
    </row>
    <row r="287" ht="19.15" customHeight="1" thickBot="1">
      <c r="B287" s="993" t="inlineStr">
        <is>
          <t xml:space="preserve">A.             How many staff do you currently employ? </t>
        </is>
      </c>
      <c r="C287" s="968" t="n"/>
      <c r="D287" s="968" t="n"/>
      <c r="E287" s="968" t="n"/>
      <c r="F287" s="968" t="n"/>
      <c r="G287" s="968" t="n"/>
      <c r="H287" s="968" t="n"/>
      <c r="I287" s="968" t="n"/>
      <c r="J287" s="968" t="n"/>
      <c r="K287" s="969" t="n"/>
      <c r="L287" s="1005" t="n"/>
      <c r="R287" s="1014" t="n"/>
    </row>
    <row r="288">
      <c r="B288" s="541" t="inlineStr">
        <is>
          <t>Full time:</t>
        </is>
      </c>
      <c r="E288" s="1023" t="n"/>
      <c r="F288" s="977" t="n"/>
      <c r="G288" s="978" t="n"/>
      <c r="H288" s="1011" t="inlineStr">
        <is>
          <t>Part time:</t>
        </is>
      </c>
      <c r="I288" s="978" t="n"/>
      <c r="J288" s="1024" t="n"/>
      <c r="K288" s="978" t="n"/>
      <c r="L288" s="1005" t="n"/>
      <c r="R288" s="1014" t="n"/>
    </row>
    <row r="289" ht="14.5" customHeight="1" thickBot="1">
      <c r="B289" s="1005" t="n"/>
      <c r="E289" s="991" t="n"/>
      <c r="G289" s="992" t="n"/>
      <c r="H289" s="991" t="n"/>
      <c r="I289" s="992" t="n"/>
      <c r="J289" s="991" t="n"/>
      <c r="K289" s="992" t="n"/>
      <c r="L289" s="1005" t="n"/>
      <c r="R289" s="1014" t="n"/>
    </row>
    <row r="290" ht="20.15" customHeight="1" thickBot="1">
      <c r="B290" s="993" t="inlineStr">
        <is>
          <t>Outline the key staff roles within your business (e.g. job title, responsibilities, key skills):</t>
        </is>
      </c>
      <c r="C290" s="968" t="n"/>
      <c r="D290" s="968" t="n"/>
      <c r="E290" s="968" t="n"/>
      <c r="F290" s="968" t="n"/>
      <c r="G290" s="968" t="n"/>
      <c r="H290" s="968" t="n"/>
      <c r="I290" s="968" t="n"/>
      <c r="J290" s="968" t="n"/>
      <c r="K290" s="969" t="n"/>
      <c r="L290" s="1005" t="n"/>
      <c r="R290" s="1014" t="n"/>
    </row>
    <row r="291">
      <c r="B291" s="1002" t="n"/>
      <c r="C291" s="977" t="n"/>
      <c r="D291" s="977" t="n"/>
      <c r="E291" s="977" t="n"/>
      <c r="F291" s="977" t="n"/>
      <c r="G291" s="977" t="n"/>
      <c r="H291" s="977" t="n"/>
      <c r="I291" s="977" t="n"/>
      <c r="J291" s="977" t="n"/>
      <c r="K291" s="978" t="n"/>
      <c r="L291" s="1005" t="n"/>
      <c r="R291" s="1014" t="n"/>
    </row>
    <row r="292">
      <c r="B292" s="991" t="n"/>
      <c r="K292" s="992" t="n"/>
      <c r="L292" s="1005" t="n"/>
      <c r="R292" s="1014" t="n"/>
    </row>
    <row r="293">
      <c r="B293" s="991" t="n"/>
      <c r="K293" s="992" t="n"/>
      <c r="L293" s="1005" t="n"/>
      <c r="R293" s="1014" t="n"/>
    </row>
    <row r="294">
      <c r="B294" s="991" t="n"/>
      <c r="K294" s="992" t="n"/>
      <c r="L294" s="1005" t="n"/>
      <c r="R294" s="1014" t="n"/>
    </row>
    <row r="295">
      <c r="B295" s="991" t="n"/>
      <c r="K295" s="992" t="n"/>
      <c r="L295" s="1005" t="n"/>
      <c r="R295" s="1014" t="n"/>
    </row>
    <row r="296">
      <c r="B296" s="991" t="n"/>
      <c r="K296" s="992" t="n"/>
      <c r="L296" s="1005" t="n"/>
      <c r="R296" s="1014" t="n"/>
    </row>
    <row r="297">
      <c r="B297" s="991" t="n"/>
      <c r="K297" s="992" t="n"/>
      <c r="L297" s="1005" t="n"/>
      <c r="R297" s="1014" t="n"/>
    </row>
    <row r="298" ht="14.5" customHeight="1" thickBot="1">
      <c r="B298" s="980" t="n"/>
      <c r="C298" s="981" t="n"/>
      <c r="D298" s="981" t="n"/>
      <c r="E298" s="981" t="n"/>
      <c r="F298" s="981" t="n"/>
      <c r="G298" s="981" t="n"/>
      <c r="H298" s="981" t="n"/>
      <c r="I298" s="981" t="n"/>
      <c r="J298" s="981" t="n"/>
      <c r="K298" s="982" t="n"/>
      <c r="L298" s="1005" t="n"/>
      <c r="R298" s="1014" t="n"/>
    </row>
    <row r="299" ht="26.65" customHeight="1" thickBot="1">
      <c r="B299" s="993" t="inlineStr">
        <is>
          <t>B.             How many staff do you intend to take on in the next 12-months?</t>
        </is>
      </c>
      <c r="C299" s="968" t="n"/>
      <c r="D299" s="968" t="n"/>
      <c r="E299" s="968" t="n"/>
      <c r="F299" s="968" t="n"/>
      <c r="G299" s="968" t="n"/>
      <c r="H299" s="968" t="n"/>
      <c r="I299" s="968" t="n"/>
      <c r="J299" s="968" t="n"/>
      <c r="K299" s="969" t="n"/>
      <c r="L299" s="1005" t="n"/>
      <c r="R299" s="1014" t="n"/>
    </row>
    <row r="300">
      <c r="B300" s="541" t="inlineStr">
        <is>
          <t>Full time:</t>
        </is>
      </c>
      <c r="E300" s="1023" t="n"/>
      <c r="F300" s="977" t="n"/>
      <c r="G300" s="978" t="n"/>
      <c r="H300" s="1011" t="inlineStr">
        <is>
          <t>Part time:</t>
        </is>
      </c>
      <c r="I300" s="978" t="n"/>
      <c r="J300" s="1023" t="n"/>
      <c r="K300" s="978" t="n"/>
      <c r="L300" s="1005" t="n"/>
      <c r="R300" s="1014" t="n"/>
    </row>
    <row r="301" ht="14.5" customHeight="1" thickBot="1">
      <c r="B301" s="1005" t="n"/>
      <c r="E301" s="991" t="n"/>
      <c r="G301" s="992" t="n"/>
      <c r="H301" s="991" t="n"/>
      <c r="I301" s="992" t="n"/>
      <c r="J301" s="991" t="n"/>
      <c r="K301" s="992" t="n"/>
      <c r="L301" s="1005" t="n"/>
      <c r="R301" s="1014" t="n"/>
    </row>
    <row r="302" ht="27.65" customHeight="1" thickBot="1">
      <c r="B302" s="993" t="inlineStr">
        <is>
          <t>Describe the key responsibilities and skills you anticipate giving to these new staff:</t>
        </is>
      </c>
      <c r="C302" s="968" t="n"/>
      <c r="D302" s="968" t="n"/>
      <c r="E302" s="968" t="n"/>
      <c r="F302" s="968" t="n"/>
      <c r="G302" s="968" t="n"/>
      <c r="H302" s="968" t="n"/>
      <c r="I302" s="968" t="n"/>
      <c r="J302" s="968" t="n"/>
      <c r="K302" s="969" t="n"/>
      <c r="L302" s="1005" t="n"/>
      <c r="R302" s="1014" t="n"/>
    </row>
    <row r="303">
      <c r="B303" s="1002" t="n"/>
      <c r="C303" s="977" t="n"/>
      <c r="D303" s="977" t="n"/>
      <c r="E303" s="977" t="n"/>
      <c r="F303" s="977" t="n"/>
      <c r="G303" s="977" t="n"/>
      <c r="H303" s="977" t="n"/>
      <c r="I303" s="977" t="n"/>
      <c r="J303" s="977" t="n"/>
      <c r="K303" s="978" t="n"/>
      <c r="L303" s="1005" t="n"/>
      <c r="R303" s="1014" t="n"/>
    </row>
    <row r="304">
      <c r="B304" s="991" t="n"/>
      <c r="K304" s="992" t="n"/>
      <c r="L304" s="1005" t="n"/>
      <c r="R304" s="1014" t="n"/>
    </row>
    <row r="305">
      <c r="B305" s="991" t="n"/>
      <c r="K305" s="992" t="n"/>
      <c r="L305" s="1005" t="n"/>
      <c r="R305" s="1014" t="n"/>
    </row>
    <row r="306">
      <c r="B306" s="991" t="n"/>
      <c r="K306" s="992" t="n"/>
      <c r="L306" s="1005" t="n"/>
      <c r="R306" s="1014" t="n"/>
    </row>
    <row r="307">
      <c r="B307" s="991" t="n"/>
      <c r="K307" s="992" t="n"/>
      <c r="L307" s="1005" t="n"/>
      <c r="R307" s="1014" t="n"/>
    </row>
    <row r="308">
      <c r="B308" s="991" t="n"/>
      <c r="K308" s="992" t="n"/>
      <c r="L308" s="1005" t="n"/>
      <c r="R308" s="1014" t="n"/>
    </row>
    <row r="309">
      <c r="B309" s="991" t="n"/>
      <c r="K309" s="992" t="n"/>
      <c r="L309" s="1005" t="n"/>
      <c r="R309" s="1014" t="n"/>
    </row>
    <row r="310">
      <c r="B310" s="991" t="n"/>
      <c r="K310" s="992" t="n"/>
      <c r="L310" s="1005" t="n"/>
      <c r="R310" s="1014" t="n"/>
    </row>
    <row r="311" ht="14.5" customHeight="1" thickBot="1">
      <c r="B311" s="980" t="n"/>
      <c r="C311" s="981" t="n"/>
      <c r="D311" s="981" t="n"/>
      <c r="E311" s="981" t="n"/>
      <c r="F311" s="981" t="n"/>
      <c r="G311" s="981" t="n"/>
      <c r="H311" s="981" t="n"/>
      <c r="I311" s="981" t="n"/>
      <c r="J311" s="981" t="n"/>
      <c r="K311" s="982" t="n"/>
      <c r="L311" s="1005" t="n"/>
      <c r="R311" s="1014" t="n"/>
    </row>
    <row r="312" ht="24.65" customHeight="1" thickBot="1">
      <c r="B312" s="993" t="inlineStr">
        <is>
          <t>Where does or will your business operate from?</t>
        </is>
      </c>
      <c r="C312" s="968" t="n"/>
      <c r="D312" s="968" t="n"/>
      <c r="E312" s="968" t="n"/>
      <c r="F312" s="968" t="n"/>
      <c r="G312" s="968" t="n"/>
      <c r="H312" s="968" t="n"/>
      <c r="I312" s="968" t="n"/>
      <c r="J312" s="968" t="n"/>
      <c r="K312" s="969" t="n"/>
      <c r="L312" s="1005" t="n"/>
      <c r="R312" s="1014" t="n"/>
    </row>
    <row r="313" ht="24" customHeight="1" thickBot="1">
      <c r="B313" s="993" t="inlineStr">
        <is>
          <t>Delete any answers not applicable to you and provide some description as relevant.</t>
        </is>
      </c>
      <c r="C313" s="968" t="n"/>
      <c r="D313" s="968" t="n"/>
      <c r="E313" s="968" t="n"/>
      <c r="F313" s="968" t="n"/>
      <c r="G313" s="968" t="n"/>
      <c r="H313" s="968" t="n"/>
      <c r="I313" s="968" t="n"/>
      <c r="J313" s="968" t="n"/>
      <c r="K313" s="969" t="n"/>
      <c r="L313" s="1005" t="n"/>
      <c r="R313" s="1014" t="n"/>
    </row>
    <row r="314" ht="14.15" customHeight="1">
      <c r="B314" s="1025" t="inlineStr">
        <is>
          <t>·   Home business</t>
        </is>
      </c>
      <c r="C314" s="977" t="n"/>
      <c r="D314" s="977" t="n"/>
      <c r="E314" s="977" t="n"/>
      <c r="F314" s="977" t="n"/>
      <c r="G314" s="977" t="n"/>
      <c r="H314" s="977" t="n"/>
      <c r="I314" s="977" t="n"/>
      <c r="J314" s="977" t="n"/>
      <c r="K314" s="978" t="n"/>
      <c r="L314" s="1005" t="n"/>
      <c r="R314" s="1014" t="n"/>
    </row>
    <row r="315">
      <c r="B315" s="1026" t="inlineStr">
        <is>
          <t>·   Office</t>
        </is>
      </c>
      <c r="K315" s="992" t="n"/>
      <c r="L315" s="1005" t="n"/>
      <c r="R315" s="1014" t="n"/>
    </row>
    <row r="316" ht="14.15" customHeight="1">
      <c r="B316" s="1026" t="inlineStr">
        <is>
          <t>·   Retail unit</t>
        </is>
      </c>
      <c r="K316" s="992" t="n"/>
      <c r="L316" s="1005" t="n"/>
      <c r="R316" s="1014" t="n"/>
    </row>
    <row r="317" ht="14.15" customHeight="1">
      <c r="B317" s="1026" t="inlineStr">
        <is>
          <t>·   Manufacturing unit</t>
        </is>
      </c>
      <c r="K317" s="992" t="n"/>
      <c r="L317" s="1005" t="n"/>
      <c r="R317" s="1014" t="n"/>
    </row>
    <row r="318" ht="14.15" customHeight="1">
      <c r="B318" s="1026" t="inlineStr">
        <is>
          <t>·   Mobile business (vehicle)</t>
        </is>
      </c>
      <c r="K318" s="992" t="n"/>
      <c r="L318" s="1005" t="n"/>
      <c r="R318" s="1014" t="n"/>
    </row>
    <row r="319" ht="14.15" customHeight="1">
      <c r="B319" s="1026" t="inlineStr">
        <is>
          <t>·   Work-hub</t>
        </is>
      </c>
      <c r="K319" s="992" t="n"/>
      <c r="L319" s="1005" t="n"/>
      <c r="R319" s="1014" t="n"/>
    </row>
    <row r="320">
      <c r="B320" s="1026" t="inlineStr">
        <is>
          <t>·   Other</t>
        </is>
      </c>
      <c r="K320" s="992" t="n"/>
      <c r="L320" s="1005" t="n"/>
      <c r="R320" s="1014" t="n"/>
    </row>
    <row r="321" ht="14.5" customHeight="1" thickBot="1">
      <c r="B321" s="1022" t="n"/>
      <c r="C321" s="981" t="n"/>
      <c r="D321" s="981" t="n"/>
      <c r="E321" s="981" t="n"/>
      <c r="F321" s="981" t="n"/>
      <c r="G321" s="981" t="n"/>
      <c r="H321" s="981" t="n"/>
      <c r="I321" s="981" t="n"/>
      <c r="J321" s="981" t="n"/>
      <c r="K321" s="982" t="n"/>
      <c r="L321" s="1005" t="n"/>
      <c r="R321" s="1014" t="n"/>
    </row>
    <row r="322" ht="24" customHeight="1" thickBot="1">
      <c r="B322" s="993" t="inlineStr">
        <is>
          <t>What laws or regulations have you considered for your business and/or industry?</t>
        </is>
      </c>
      <c r="C322" s="968" t="n"/>
      <c r="D322" s="968" t="n"/>
      <c r="E322" s="968" t="n"/>
      <c r="F322" s="968" t="n"/>
      <c r="G322" s="968" t="n"/>
      <c r="H322" s="968" t="n"/>
      <c r="I322" s="968" t="n"/>
      <c r="J322" s="968" t="n"/>
      <c r="K322" s="969" t="n"/>
      <c r="L322" s="1005" t="n"/>
      <c r="R322" s="1014" t="n"/>
    </row>
    <row r="323">
      <c r="B323" s="1002" t="inlineStr">
        <is>
          <t>UK Cosmetics Regulations: CPSR required for products 01,05,06,07 before sale. Budget £800-1,000, all 4 submitted together (Larchwood Consulting or Bellis Safety). UK Responsible Person: Harsha Dandi. SCPN via UK Submit required. Stability + microbial testing for Product 05. GDPR / UK DPA 2018: customer data via Stripe (PCI DSS). Consumer Contracts Regulations 2013: 14-day right to cancel on website. HMRC self-assessment registered. VAT registration when turnover exceeds £90,000 (Year 2). LTD company registration pending.</t>
        </is>
      </c>
      <c r="C323" s="977" t="n"/>
      <c r="D323" s="977" t="n"/>
      <c r="E323" s="977" t="n"/>
      <c r="F323" s="977" t="n"/>
      <c r="G323" s="977" t="n"/>
      <c r="H323" s="977" t="n"/>
      <c r="I323" s="977" t="n"/>
      <c r="J323" s="977" t="n"/>
      <c r="K323" s="978" t="n"/>
      <c r="L323" s="1005" t="n"/>
      <c r="R323" s="1014" t="n"/>
    </row>
    <row r="324">
      <c r="B324" s="991" t="n"/>
      <c r="K324" s="992" t="n"/>
      <c r="L324" s="1005" t="n"/>
      <c r="R324" s="1014" t="n"/>
    </row>
    <row r="325">
      <c r="B325" s="991" t="n"/>
      <c r="K325" s="992" t="n"/>
      <c r="L325" s="1005" t="n"/>
      <c r="R325" s="1014" t="n"/>
    </row>
    <row r="326">
      <c r="B326" s="991" t="n"/>
      <c r="K326" s="992" t="n"/>
      <c r="L326" s="1005" t="n"/>
      <c r="R326" s="1014" t="n"/>
    </row>
    <row r="327">
      <c r="B327" s="991" t="n"/>
      <c r="K327" s="992" t="n"/>
      <c r="L327" s="1005" t="n"/>
      <c r="R327" s="1014" t="n"/>
    </row>
    <row r="328">
      <c r="B328" s="991" t="n"/>
      <c r="K328" s="992" t="n"/>
      <c r="L328" s="1005" t="n"/>
      <c r="R328" s="1014" t="n"/>
    </row>
    <row r="329" ht="14.5" customHeight="1" thickBot="1">
      <c r="B329" s="980" t="n"/>
      <c r="C329" s="981" t="n"/>
      <c r="D329" s="981" t="n"/>
      <c r="E329" s="981" t="n"/>
      <c r="F329" s="981" t="n"/>
      <c r="G329" s="981" t="n"/>
      <c r="H329" s="981" t="n"/>
      <c r="I329" s="981" t="n"/>
      <c r="J329" s="981" t="n"/>
      <c r="K329" s="982" t="n"/>
      <c r="L329" s="1005" t="n"/>
      <c r="R329" s="1014" t="n"/>
    </row>
    <row r="330" ht="29.15" customHeight="1" thickBot="1">
      <c r="B330" s="993" t="inlineStr">
        <is>
          <t>What insurance do you currently have in place or do you intend to put in place for your business?</t>
        </is>
      </c>
      <c r="C330" s="968" t="n"/>
      <c r="D330" s="968" t="n"/>
      <c r="E330" s="968" t="n"/>
      <c r="F330" s="968" t="n"/>
      <c r="G330" s="968" t="n"/>
      <c r="H330" s="968" t="n"/>
      <c r="I330" s="968" t="n"/>
      <c r="J330" s="968" t="n"/>
      <c r="K330" s="969" t="n"/>
      <c r="L330" s="1005" t="n"/>
      <c r="R330" s="1014" t="n"/>
    </row>
    <row r="331">
      <c r="B331" s="1027" t="inlineStr">
        <is>
          <t>Product liability + public liability insurance required for cosmetic products sold DTC. Budget £300-500/year. Quote to be obtained before launch from Hiscox, Simply Business, or PolicyBee. Funded personally by founder — not from loan.</t>
        </is>
      </c>
      <c r="C331" s="977" t="n"/>
      <c r="D331" s="977" t="n"/>
      <c r="E331" s="977" t="n"/>
      <c r="F331" s="977" t="n"/>
      <c r="G331" s="977" t="n"/>
      <c r="H331" s="977" t="n"/>
      <c r="I331" s="977" t="n"/>
      <c r="J331" s="977" t="n"/>
      <c r="K331" s="1028" t="n"/>
      <c r="L331" s="1005" t="n"/>
      <c r="R331" s="1014" t="n"/>
    </row>
    <row r="332">
      <c r="B332" s="1005" t="n"/>
      <c r="K332" s="1014" t="n"/>
      <c r="L332" s="1005" t="n"/>
      <c r="R332" s="1014" t="n"/>
    </row>
    <row r="333">
      <c r="B333" s="1005" t="n"/>
      <c r="K333" s="1014" t="n"/>
      <c r="L333" s="1005" t="n"/>
      <c r="R333" s="1014" t="n"/>
    </row>
    <row r="334">
      <c r="B334" s="1005" t="n"/>
      <c r="K334" s="1014" t="n"/>
      <c r="L334" s="1005" t="n"/>
      <c r="R334" s="1014" t="n"/>
    </row>
    <row r="335">
      <c r="B335" s="1005" t="n"/>
      <c r="K335" s="1014" t="n"/>
      <c r="L335" s="1005" t="n"/>
      <c r="R335" s="1014" t="n"/>
    </row>
    <row r="336">
      <c r="B336" s="1005" t="n"/>
      <c r="K336" s="1014" t="n"/>
      <c r="L336" s="1005" t="n"/>
      <c r="R336" s="1014" t="n"/>
    </row>
    <row r="337">
      <c r="B337" s="1005" t="n"/>
      <c r="K337" s="1014" t="n"/>
      <c r="L337" s="1005" t="n"/>
      <c r="R337" s="1014" t="n"/>
    </row>
    <row r="338" ht="14.5" customHeight="1" thickBot="1">
      <c r="B338" s="1029" t="n"/>
      <c r="C338" s="1030" t="n"/>
      <c r="D338" s="1030" t="n"/>
      <c r="E338" s="1030" t="n"/>
      <c r="F338" s="1030" t="n"/>
      <c r="G338" s="1030" t="n"/>
      <c r="H338" s="1030" t="n"/>
      <c r="I338" s="1030" t="n"/>
      <c r="J338" s="1030" t="n"/>
      <c r="K338" s="1031" t="n"/>
      <c r="L338" s="1029" t="n"/>
      <c r="M338" s="1030" t="n"/>
      <c r="N338" s="1030" t="n"/>
      <c r="O338" s="1030" t="n"/>
      <c r="P338" s="1030" t="n"/>
      <c r="Q338" s="1030" t="n"/>
      <c r="R338" s="1031" t="n"/>
    </row>
    <row r="339" ht="14.5" customHeight="1" thickBot="1"/>
    <row r="340" ht="14.9" customHeight="1">
      <c r="B340" s="930" t="inlineStr">
        <is>
          <t>7. Back-up plan</t>
        </is>
      </c>
      <c r="C340" s="921" t="n"/>
      <c r="D340" s="921" t="n"/>
      <c r="E340" s="921" t="n"/>
      <c r="F340" s="921" t="n"/>
      <c r="G340" s="921" t="n"/>
      <c r="H340" s="921" t="n"/>
      <c r="I340" s="921" t="n"/>
      <c r="J340" s="922" t="n"/>
      <c r="K340" s="965" t="n"/>
      <c r="L340" s="921" t="n"/>
      <c r="M340" s="921" t="n"/>
      <c r="N340" s="921" t="n"/>
      <c r="O340" s="921" t="n"/>
      <c r="P340" s="921" t="n"/>
      <c r="Q340" s="921" t="n"/>
      <c r="R340" s="922" t="n"/>
    </row>
    <row r="341" ht="14.9" customHeight="1">
      <c r="B341" s="923" t="n"/>
      <c r="J341" s="924" t="n"/>
      <c r="K341" s="923" t="n"/>
      <c r="R341" s="924" t="n"/>
    </row>
    <row r="342" ht="14.9" customHeight="1" thickBot="1">
      <c r="B342" s="932" t="n"/>
      <c r="C342" s="928" t="n"/>
      <c r="D342" s="928" t="n"/>
      <c r="E342" s="928" t="n"/>
      <c r="F342" s="928" t="n"/>
      <c r="G342" s="928" t="n"/>
      <c r="H342" s="928" t="n"/>
      <c r="I342" s="928" t="n"/>
      <c r="J342" s="929" t="n"/>
      <c r="K342" s="932" t="n"/>
      <c r="L342" s="928" t="n"/>
      <c r="M342" s="928" t="n"/>
      <c r="N342" s="928" t="n"/>
      <c r="O342" s="928" t="n"/>
      <c r="P342" s="928" t="n"/>
      <c r="Q342" s="928" t="n"/>
      <c r="R342" s="929" t="n"/>
    </row>
    <row r="343" ht="30" customHeight="1">
      <c r="B343" s="933" t="inlineStr">
        <is>
          <t>How will you manage your loan repayments if your business doesn’t go according to plan?</t>
        </is>
      </c>
      <c r="C343" s="921" t="n"/>
      <c r="D343" s="921" t="n"/>
      <c r="E343" s="921" t="n"/>
      <c r="F343" s="921" t="n"/>
      <c r="G343" s="921" t="n"/>
      <c r="H343" s="921" t="n"/>
      <c r="I343" s="921" t="n"/>
      <c r="J343" s="922" t="n"/>
      <c r="K343" s="1032" t="n"/>
      <c r="L343" s="921" t="n"/>
      <c r="M343" s="921" t="n"/>
      <c r="N343" s="921" t="n"/>
      <c r="O343" s="921" t="n"/>
      <c r="P343" s="921" t="n"/>
      <c r="Q343" s="921" t="n"/>
      <c r="R343" s="922" t="n"/>
    </row>
    <row r="344" ht="14.9" customHeight="1">
      <c r="B344" s="970" t="inlineStr">
        <is>
          <t>Your back-up plan should highlight:</t>
        </is>
      </c>
      <c r="J344" s="924" t="n"/>
      <c r="K344" s="923" t="n"/>
      <c r="R344" s="924" t="n"/>
    </row>
    <row r="345">
      <c r="B345" s="1033" t="inlineStr">
        <is>
          <t>·        What your loan repayments are</t>
        </is>
      </c>
      <c r="J345" s="924" t="n"/>
      <c r="K345" s="923" t="n"/>
      <c r="R345" s="924" t="n"/>
    </row>
    <row r="346">
      <c r="B346" s="1033" t="inlineStr">
        <is>
          <t>·        How you would manage these repayments in the case of an unexpected event</t>
        </is>
      </c>
      <c r="J346" s="924" t="n"/>
      <c r="K346" s="923" t="n"/>
      <c r="R346" s="924" t="n"/>
    </row>
    <row r="347">
      <c r="B347" s="1033" t="inlineStr">
        <is>
          <t>·        Why you feel this is a realistic plan</t>
        </is>
      </c>
      <c r="J347" s="924" t="n"/>
      <c r="K347" s="923" t="n"/>
      <c r="R347" s="924" t="n"/>
    </row>
    <row r="348" ht="14.5" customHeight="1" thickBot="1">
      <c r="B348" s="1034" t="n"/>
      <c r="C348" s="928" t="n"/>
      <c r="D348" s="928" t="n"/>
      <c r="E348" s="928" t="n"/>
      <c r="F348" s="928" t="n"/>
      <c r="G348" s="928" t="n"/>
      <c r="H348" s="928" t="n"/>
      <c r="I348" s="928" t="n"/>
      <c r="J348" s="929" t="n"/>
      <c r="K348" s="932" t="n"/>
      <c r="L348" s="928" t="n"/>
      <c r="M348" s="928" t="n"/>
      <c r="N348" s="928" t="n"/>
      <c r="O348" s="928" t="n"/>
      <c r="P348" s="928" t="n"/>
      <c r="Q348" s="928" t="n"/>
      <c r="R348" s="929" t="n"/>
    </row>
    <row r="349" ht="14.9" customHeight="1">
      <c r="B349" s="935" t="inlineStr">
        <is>
          <t>Loan repayments: £25,000 at 6% p.a. over 24 months = approximately £1,108/month. Total interest: approximately £1,592.
BACK-UP ROUTE 1 — Existing employment income (primary): I remain in full-time employment at Meta on a base salary of £154,000 per annum. I am not leaving employment — I am building SOLUM alongside my current role. Net monthly take-home is approximately £8,200, which comfortably exceeds all personal expenses (mortgage £3,200, car £1,000, other living costs ~£2,954) leaving a £2,046/month surplus. The loan repayment of £1,108/month sits comfortably within that £2,046/month surplus alone, before touching core income, and so is fully serviceable from personal salary even with zero business revenue. There is no scenario in which I cannot service this loan — it is fully covered by existing income with no dependence on business revenue.
BACK-UP ROUTE 2 — Business assets: At launch, ~£6,930 of physical inventory exists as a realisable asset. Stock could be sold at cost price to partially offset the balance.
BACK-UP ROUTE 3 — Model risk mitigation: SOLUM is profitable from transaction one. No long-term leases, staff contracts, or fixed overheads that persist if the business stops. All variable costs (ad spend, personally funded) can be stopped immediately with zero residual financial obligation. I do not rely on any third party to meet loan repayments.</t>
        </is>
      </c>
      <c r="C349" s="936" t="n"/>
      <c r="D349" s="936" t="n"/>
      <c r="E349" s="936" t="n"/>
      <c r="F349" s="936" t="n"/>
      <c r="G349" s="936" t="n"/>
      <c r="H349" s="936" t="n"/>
      <c r="I349" s="936" t="n"/>
      <c r="J349" s="937" t="n"/>
      <c r="K349" s="938" t="inlineStr">
        <is>
          <t>Describe how you would be able to meet your loan repayments, personal expenditure (PSB) as well as any long term liabilities in relation to the business, in the event the business were to fail. 
Things to consider:
- Long term liabilities such as lease agreements (break clause?), asset finance, other credit agreements, etc.
- Your Personal Survival Budget demonstrates sufficient disposable income capable of absorbing the monthly loan repayments.
- You have other skills or experience that would reasonably allow you to return to employment. It may be useful to note potential job type and salary expectations
- If bank statements were provided, it may be clear that you previously earned sufficient income to cover your personal expenses. 
- There may be business assets sufficient in value to repay the loan.
- If returning to employment consider how realistic this is, if long term unemployed.
- If in receipt of any benefits related to ill health consider the potential impact on the backup plan. If yes, please verify nature of disability and related to client? 
It may be possible to rely on one of the above, or a combination. Reliance on a third party to repay the loan is not acceptable.</t>
        </is>
      </c>
      <c r="L349" s="921" t="n"/>
      <c r="M349" s="921" t="n"/>
      <c r="N349" s="921" t="n"/>
      <c r="O349" s="921" t="n"/>
      <c r="P349" s="921" t="n"/>
      <c r="Q349" s="921" t="n"/>
      <c r="R349" s="922" t="n"/>
    </row>
    <row r="350">
      <c r="B350" s="939" t="n"/>
      <c r="C350" s="914" t="n"/>
      <c r="D350" s="914" t="n"/>
      <c r="E350" s="914" t="n"/>
      <c r="F350" s="914" t="n"/>
      <c r="G350" s="914" t="n"/>
      <c r="H350" s="914" t="n"/>
      <c r="I350" s="914" t="n"/>
      <c r="J350" s="940" t="n"/>
      <c r="K350" s="923" t="n"/>
      <c r="R350" s="924" t="n"/>
    </row>
    <row r="351">
      <c r="B351" s="939" t="n"/>
      <c r="C351" s="914" t="n"/>
      <c r="D351" s="914" t="n"/>
      <c r="E351" s="914" t="n"/>
      <c r="F351" s="914" t="n"/>
      <c r="G351" s="914" t="n"/>
      <c r="H351" s="914" t="n"/>
      <c r="I351" s="914" t="n"/>
      <c r="J351" s="940" t="n"/>
      <c r="K351" s="923" t="n"/>
      <c r="R351" s="924" t="n"/>
    </row>
    <row r="352" ht="14.9" customHeight="1">
      <c r="B352" s="939" t="n"/>
      <c r="C352" s="914" t="n"/>
      <c r="D352" s="914" t="n"/>
      <c r="E352" s="914" t="n"/>
      <c r="F352" s="914" t="n"/>
      <c r="G352" s="914" t="n"/>
      <c r="H352" s="914" t="n"/>
      <c r="I352" s="914" t="n"/>
      <c r="J352" s="940" t="n"/>
      <c r="K352" s="923" t="n"/>
      <c r="R352" s="924" t="n"/>
    </row>
    <row r="353">
      <c r="B353" s="939" t="n"/>
      <c r="C353" s="914" t="n"/>
      <c r="D353" s="914" t="n"/>
      <c r="E353" s="914" t="n"/>
      <c r="F353" s="914" t="n"/>
      <c r="G353" s="914" t="n"/>
      <c r="H353" s="914" t="n"/>
      <c r="I353" s="914" t="n"/>
      <c r="J353" s="940" t="n"/>
      <c r="K353" s="923" t="n"/>
      <c r="R353" s="924" t="n"/>
    </row>
    <row r="354">
      <c r="B354" s="939" t="n"/>
      <c r="C354" s="914" t="n"/>
      <c r="D354" s="914" t="n"/>
      <c r="E354" s="914" t="n"/>
      <c r="F354" s="914" t="n"/>
      <c r="G354" s="914" t="n"/>
      <c r="H354" s="914" t="n"/>
      <c r="I354" s="914" t="n"/>
      <c r="J354" s="940" t="n"/>
      <c r="K354" s="923" t="n"/>
      <c r="R354" s="924" t="n"/>
    </row>
    <row r="355">
      <c r="B355" s="939" t="n"/>
      <c r="C355" s="914" t="n"/>
      <c r="D355" s="914" t="n"/>
      <c r="E355" s="914" t="n"/>
      <c r="F355" s="914" t="n"/>
      <c r="G355" s="914" t="n"/>
      <c r="H355" s="914" t="n"/>
      <c r="I355" s="914" t="n"/>
      <c r="J355" s="940" t="n"/>
      <c r="K355" s="923" t="n"/>
      <c r="R355" s="924" t="n"/>
    </row>
    <row r="356">
      <c r="B356" s="939" t="n"/>
      <c r="C356" s="914" t="n"/>
      <c r="D356" s="914" t="n"/>
      <c r="E356" s="914" t="n"/>
      <c r="F356" s="914" t="n"/>
      <c r="G356" s="914" t="n"/>
      <c r="H356" s="914" t="n"/>
      <c r="I356" s="914" t="n"/>
      <c r="J356" s="940" t="n"/>
      <c r="K356" s="923" t="n"/>
      <c r="R356" s="924" t="n"/>
    </row>
    <row r="357">
      <c r="B357" s="939" t="n"/>
      <c r="C357" s="914" t="n"/>
      <c r="D357" s="914" t="n"/>
      <c r="E357" s="914" t="n"/>
      <c r="F357" s="914" t="n"/>
      <c r="G357" s="914" t="n"/>
      <c r="H357" s="914" t="n"/>
      <c r="I357" s="914" t="n"/>
      <c r="J357" s="940" t="n"/>
      <c r="K357" s="923" t="n"/>
      <c r="R357" s="924" t="n"/>
    </row>
    <row r="358">
      <c r="B358" s="939" t="n"/>
      <c r="C358" s="914" t="n"/>
      <c r="D358" s="914" t="n"/>
      <c r="E358" s="914" t="n"/>
      <c r="F358" s="914" t="n"/>
      <c r="G358" s="914" t="n"/>
      <c r="H358" s="914" t="n"/>
      <c r="I358" s="914" t="n"/>
      <c r="J358" s="940" t="n"/>
      <c r="K358" s="923" t="n"/>
      <c r="R358" s="924" t="n"/>
    </row>
    <row r="359">
      <c r="B359" s="939" t="n"/>
      <c r="C359" s="914" t="n"/>
      <c r="D359" s="914" t="n"/>
      <c r="E359" s="914" t="n"/>
      <c r="F359" s="914" t="n"/>
      <c r="G359" s="914" t="n"/>
      <c r="H359" s="914" t="n"/>
      <c r="I359" s="914" t="n"/>
      <c r="J359" s="940" t="n"/>
      <c r="K359" s="923" t="n"/>
      <c r="R359" s="924" t="n"/>
    </row>
    <row r="360">
      <c r="B360" s="939" t="n"/>
      <c r="C360" s="914" t="n"/>
      <c r="D360" s="914" t="n"/>
      <c r="E360" s="914" t="n"/>
      <c r="F360" s="914" t="n"/>
      <c r="G360" s="914" t="n"/>
      <c r="H360" s="914" t="n"/>
      <c r="I360" s="914" t="n"/>
      <c r="J360" s="940" t="n"/>
      <c r="K360" s="923" t="n"/>
      <c r="R360" s="924" t="n"/>
    </row>
    <row r="361">
      <c r="B361" s="939" t="n"/>
      <c r="C361" s="914" t="n"/>
      <c r="D361" s="914" t="n"/>
      <c r="E361" s="914" t="n"/>
      <c r="F361" s="914" t="n"/>
      <c r="G361" s="914" t="n"/>
      <c r="H361" s="914" t="n"/>
      <c r="I361" s="914" t="n"/>
      <c r="J361" s="940" t="n"/>
      <c r="K361" s="923" t="n"/>
      <c r="R361" s="924" t="n"/>
    </row>
    <row r="362">
      <c r="B362" s="939" t="n"/>
      <c r="C362" s="914" t="n"/>
      <c r="D362" s="914" t="n"/>
      <c r="E362" s="914" t="n"/>
      <c r="F362" s="914" t="n"/>
      <c r="G362" s="914" t="n"/>
      <c r="H362" s="914" t="n"/>
      <c r="I362" s="914" t="n"/>
      <c r="J362" s="940" t="n"/>
      <c r="K362" s="923" t="n"/>
      <c r="R362" s="924" t="n"/>
    </row>
    <row r="363">
      <c r="B363" s="939" t="n"/>
      <c r="C363" s="914" t="n"/>
      <c r="D363" s="914" t="n"/>
      <c r="E363" s="914" t="n"/>
      <c r="F363" s="914" t="n"/>
      <c r="G363" s="914" t="n"/>
      <c r="H363" s="914" t="n"/>
      <c r="I363" s="914" t="n"/>
      <c r="J363" s="940" t="n"/>
      <c r="K363" s="923" t="n"/>
      <c r="R363" s="924" t="n"/>
    </row>
    <row r="364">
      <c r="B364" s="939" t="n"/>
      <c r="C364" s="914" t="n"/>
      <c r="D364" s="914" t="n"/>
      <c r="E364" s="914" t="n"/>
      <c r="F364" s="914" t="n"/>
      <c r="G364" s="914" t="n"/>
      <c r="H364" s="914" t="n"/>
      <c r="I364" s="914" t="n"/>
      <c r="J364" s="940" t="n"/>
      <c r="K364" s="923" t="n"/>
      <c r="R364" s="924" t="n"/>
    </row>
    <row r="365">
      <c r="B365" s="939" t="n"/>
      <c r="C365" s="914" t="n"/>
      <c r="D365" s="914" t="n"/>
      <c r="E365" s="914" t="n"/>
      <c r="F365" s="914" t="n"/>
      <c r="G365" s="914" t="n"/>
      <c r="H365" s="914" t="n"/>
      <c r="I365" s="914" t="n"/>
      <c r="J365" s="940" t="n"/>
      <c r="K365" s="923" t="n"/>
      <c r="R365" s="924" t="n"/>
    </row>
    <row r="366">
      <c r="B366" s="939" t="n"/>
      <c r="C366" s="914" t="n"/>
      <c r="D366" s="914" t="n"/>
      <c r="E366" s="914" t="n"/>
      <c r="F366" s="914" t="n"/>
      <c r="G366" s="914" t="n"/>
      <c r="H366" s="914" t="n"/>
      <c r="I366" s="914" t="n"/>
      <c r="J366" s="940" t="n"/>
      <c r="K366" s="923" t="n"/>
      <c r="R366" s="924" t="n"/>
    </row>
    <row r="367">
      <c r="B367" s="939" t="n"/>
      <c r="C367" s="914" t="n"/>
      <c r="D367" s="914" t="n"/>
      <c r="E367" s="914" t="n"/>
      <c r="F367" s="914" t="n"/>
      <c r="G367" s="914" t="n"/>
      <c r="H367" s="914" t="n"/>
      <c r="I367" s="914" t="n"/>
      <c r="J367" s="940" t="n"/>
      <c r="K367" s="923" t="n"/>
      <c r="R367" s="924" t="n"/>
    </row>
    <row r="368">
      <c r="B368" s="939" t="n"/>
      <c r="C368" s="914" t="n"/>
      <c r="D368" s="914" t="n"/>
      <c r="E368" s="914" t="n"/>
      <c r="F368" s="914" t="n"/>
      <c r="G368" s="914" t="n"/>
      <c r="H368" s="914" t="n"/>
      <c r="I368" s="914" t="n"/>
      <c r="J368" s="940" t="n"/>
      <c r="K368" s="923" t="n"/>
      <c r="R368" s="924" t="n"/>
    </row>
    <row r="369">
      <c r="B369" s="939" t="n"/>
      <c r="C369" s="914" t="n"/>
      <c r="D369" s="914" t="n"/>
      <c r="E369" s="914" t="n"/>
      <c r="F369" s="914" t="n"/>
      <c r="G369" s="914" t="n"/>
      <c r="H369" s="914" t="n"/>
      <c r="I369" s="914" t="n"/>
      <c r="J369" s="940" t="n"/>
      <c r="K369" s="923" t="n"/>
      <c r="R369" s="924" t="n"/>
    </row>
    <row r="370">
      <c r="B370" s="939" t="n"/>
      <c r="C370" s="914" t="n"/>
      <c r="D370" s="914" t="n"/>
      <c r="E370" s="914" t="n"/>
      <c r="F370" s="914" t="n"/>
      <c r="G370" s="914" t="n"/>
      <c r="H370" s="914" t="n"/>
      <c r="I370" s="914" t="n"/>
      <c r="J370" s="940" t="n"/>
      <c r="K370" s="923" t="n"/>
      <c r="R370" s="924" t="n"/>
    </row>
    <row r="371" ht="14.5" customHeight="1" thickBot="1">
      <c r="B371" s="941" t="n"/>
      <c r="C371" s="942" t="n"/>
      <c r="D371" s="942" t="n"/>
      <c r="E371" s="942" t="n"/>
      <c r="F371" s="942" t="n"/>
      <c r="G371" s="942" t="n"/>
      <c r="H371" s="942" t="n"/>
      <c r="I371" s="942" t="n"/>
      <c r="J371" s="943" t="n"/>
      <c r="K371" s="932" t="n"/>
      <c r="L371" s="928" t="n"/>
      <c r="M371" s="928" t="n"/>
      <c r="N371" s="928" t="n"/>
      <c r="O371" s="928" t="n"/>
      <c r="P371" s="928" t="n"/>
      <c r="Q371" s="928" t="n"/>
      <c r="R371" s="929" t="n"/>
    </row>
  </sheetData>
  <mergeCells count="234">
    <mergeCell ref="B331:K338"/>
    <mergeCell ref="G247:K247"/>
    <mergeCell ref="B263:F268"/>
    <mergeCell ref="L193:R193"/>
    <mergeCell ref="B41:J47"/>
    <mergeCell ref="B60:D60"/>
    <mergeCell ref="G253:K258"/>
    <mergeCell ref="B279:K279"/>
    <mergeCell ref="B252:F252"/>
    <mergeCell ref="B300:D301"/>
    <mergeCell ref="B349:J371"/>
    <mergeCell ref="K59:R71"/>
    <mergeCell ref="B113:K118"/>
    <mergeCell ref="F63:J63"/>
    <mergeCell ref="B199:H202"/>
    <mergeCell ref="B281:K281"/>
    <mergeCell ref="B133:K133"/>
    <mergeCell ref="I173:K178"/>
    <mergeCell ref="L186:R187"/>
    <mergeCell ref="B77:J83"/>
    <mergeCell ref="B106:K111"/>
    <mergeCell ref="I199:K202"/>
    <mergeCell ref="B348:J348"/>
    <mergeCell ref="B180:H185"/>
    <mergeCell ref="B135:K135"/>
    <mergeCell ref="L244:R245"/>
    <mergeCell ref="B40:J40"/>
    <mergeCell ref="K49:R55"/>
    <mergeCell ref="L98:R98"/>
    <mergeCell ref="K84:R84"/>
    <mergeCell ref="B94:K96"/>
    <mergeCell ref="B125:K125"/>
    <mergeCell ref="G249:K249"/>
    <mergeCell ref="B134:K134"/>
    <mergeCell ref="F66:J66"/>
    <mergeCell ref="B208:K208"/>
    <mergeCell ref="B186:K187"/>
    <mergeCell ref="B15:J17"/>
    <mergeCell ref="I194:K197"/>
    <mergeCell ref="G266:K266"/>
    <mergeCell ref="B105:K105"/>
    <mergeCell ref="K41:R47"/>
    <mergeCell ref="B10:R10"/>
    <mergeCell ref="G269:K269"/>
    <mergeCell ref="B62:D62"/>
    <mergeCell ref="B322:K322"/>
    <mergeCell ref="K48:R48"/>
    <mergeCell ref="B98:K98"/>
    <mergeCell ref="L124:R125"/>
    <mergeCell ref="G250:K250"/>
    <mergeCell ref="B340:J342"/>
    <mergeCell ref="F61:J61"/>
    <mergeCell ref="B9:R9"/>
    <mergeCell ref="B179:H179"/>
    <mergeCell ref="L164:R169"/>
    <mergeCell ref="E300:G301"/>
    <mergeCell ref="L173:R178"/>
    <mergeCell ref="L121:R123"/>
    <mergeCell ref="L170:R171"/>
    <mergeCell ref="L163:R163"/>
    <mergeCell ref="G252:K252"/>
    <mergeCell ref="J288:K289"/>
    <mergeCell ref="B18:J18"/>
    <mergeCell ref="G261:K261"/>
    <mergeCell ref="B70:D70"/>
    <mergeCell ref="B172:H172"/>
    <mergeCell ref="I179:K179"/>
    <mergeCell ref="B276:K277"/>
    <mergeCell ref="L154:R155"/>
    <mergeCell ref="B317:K317"/>
    <mergeCell ref="F64:J64"/>
    <mergeCell ref="K56:R57"/>
    <mergeCell ref="F65:J65"/>
    <mergeCell ref="K15:R17"/>
    <mergeCell ref="I157:K162"/>
    <mergeCell ref="B319:K319"/>
    <mergeCell ref="B170:K171"/>
    <mergeCell ref="B124:K124"/>
    <mergeCell ref="L199:R202"/>
    <mergeCell ref="L106:R111"/>
    <mergeCell ref="G262:K262"/>
    <mergeCell ref="B291:K298"/>
    <mergeCell ref="B188:K188"/>
    <mergeCell ref="B84:J84"/>
    <mergeCell ref="K76:R76"/>
    <mergeCell ref="B126:K126"/>
    <mergeCell ref="G264:K264"/>
    <mergeCell ref="B157:H162"/>
    <mergeCell ref="B68:D68"/>
    <mergeCell ref="B246:F251"/>
    <mergeCell ref="B240:K241"/>
    <mergeCell ref="B280:K280"/>
    <mergeCell ref="B321:K321"/>
    <mergeCell ref="L97:R97"/>
    <mergeCell ref="L112:R112"/>
    <mergeCell ref="L180:R185"/>
    <mergeCell ref="G248:K248"/>
    <mergeCell ref="G263:K263"/>
    <mergeCell ref="B13:R13"/>
    <mergeCell ref="B282:K282"/>
    <mergeCell ref="B38:J39"/>
    <mergeCell ref="G270:K275"/>
    <mergeCell ref="B7:R8"/>
    <mergeCell ref="B269:F269"/>
    <mergeCell ref="K19:R37"/>
    <mergeCell ref="E288:G289"/>
    <mergeCell ref="B136:K136"/>
    <mergeCell ref="L242:R243"/>
    <mergeCell ref="B59:D59"/>
    <mergeCell ref="B299:K299"/>
    <mergeCell ref="I180:K185"/>
    <mergeCell ref="K77:R83"/>
    <mergeCell ref="I163:K163"/>
    <mergeCell ref="B347:J347"/>
    <mergeCell ref="B58:J58"/>
    <mergeCell ref="B209:K234"/>
    <mergeCell ref="B194:H197"/>
    <mergeCell ref="B85:J91"/>
    <mergeCell ref="B288:D289"/>
    <mergeCell ref="B128:K128"/>
    <mergeCell ref="K343:R348"/>
    <mergeCell ref="I156:K156"/>
    <mergeCell ref="B137:K137"/>
    <mergeCell ref="F69:J69"/>
    <mergeCell ref="B242:K243"/>
    <mergeCell ref="B303:K311"/>
    <mergeCell ref="B253:F258"/>
    <mergeCell ref="G251:K251"/>
    <mergeCell ref="B73:J75"/>
    <mergeCell ref="B198:H198"/>
    <mergeCell ref="E4:L4"/>
    <mergeCell ref="F59:J59"/>
    <mergeCell ref="G267:K267"/>
    <mergeCell ref="K349:R371"/>
    <mergeCell ref="B12:R12"/>
    <mergeCell ref="B270:F275"/>
    <mergeCell ref="L179:R179"/>
    <mergeCell ref="B237:K239"/>
    <mergeCell ref="K340:R342"/>
    <mergeCell ref="B65:D65"/>
    <mergeCell ref="L240:R241"/>
    <mergeCell ref="L209:R234"/>
    <mergeCell ref="B138:K153"/>
    <mergeCell ref="B121:K123"/>
    <mergeCell ref="L208:R208"/>
    <mergeCell ref="K58:R58"/>
    <mergeCell ref="B63:D63"/>
    <mergeCell ref="B320:K320"/>
    <mergeCell ref="K85:R91"/>
    <mergeCell ref="B343:J343"/>
    <mergeCell ref="B261:F262"/>
    <mergeCell ref="B130:K130"/>
    <mergeCell ref="I164:K169"/>
    <mergeCell ref="B49:J55"/>
    <mergeCell ref="L113:R118"/>
    <mergeCell ref="F71:J71"/>
    <mergeCell ref="B345:J345"/>
    <mergeCell ref="F67:J67"/>
    <mergeCell ref="B99:K104"/>
    <mergeCell ref="B66:D66"/>
    <mergeCell ref="B132:K132"/>
    <mergeCell ref="B189:K192"/>
    <mergeCell ref="G265:K265"/>
    <mergeCell ref="L205:R207"/>
    <mergeCell ref="L172:R172"/>
    <mergeCell ref="K73:R75"/>
    <mergeCell ref="B244:F245"/>
    <mergeCell ref="B290:K290"/>
    <mergeCell ref="B312:K312"/>
    <mergeCell ref="F60:J60"/>
    <mergeCell ref="H300:I301"/>
    <mergeCell ref="B173:H178"/>
    <mergeCell ref="L99:R104"/>
    <mergeCell ref="L156:R156"/>
    <mergeCell ref="J300:K301"/>
    <mergeCell ref="B112:K112"/>
    <mergeCell ref="B314:K314"/>
    <mergeCell ref="L94:R96"/>
    <mergeCell ref="B48:J48"/>
    <mergeCell ref="B346:J346"/>
    <mergeCell ref="L194:R197"/>
    <mergeCell ref="B67:D67"/>
    <mergeCell ref="B61:D61"/>
    <mergeCell ref="B127:K127"/>
    <mergeCell ref="B316:K316"/>
    <mergeCell ref="F68:J68"/>
    <mergeCell ref="G244:K244"/>
    <mergeCell ref="B205:K207"/>
    <mergeCell ref="L105:R105"/>
    <mergeCell ref="B313:K313"/>
    <mergeCell ref="L188:R188"/>
    <mergeCell ref="E5:L5"/>
    <mergeCell ref="B69:D69"/>
    <mergeCell ref="G268:K268"/>
    <mergeCell ref="B56:J57"/>
    <mergeCell ref="B163:H163"/>
    <mergeCell ref="L189:R192"/>
    <mergeCell ref="B315:K315"/>
    <mergeCell ref="B330:K330"/>
    <mergeCell ref="B97:K97"/>
    <mergeCell ref="K38:R39"/>
    <mergeCell ref="B259:K260"/>
    <mergeCell ref="B302:K302"/>
    <mergeCell ref="G245:K245"/>
    <mergeCell ref="B129:K129"/>
    <mergeCell ref="B156:H156"/>
    <mergeCell ref="B11:R11"/>
    <mergeCell ref="L126:R153"/>
    <mergeCell ref="L237:R239"/>
    <mergeCell ref="K40:R40"/>
    <mergeCell ref="I193:K193"/>
    <mergeCell ref="B283:K286"/>
    <mergeCell ref="B64:D64"/>
    <mergeCell ref="F70:J70"/>
    <mergeCell ref="H288:I289"/>
    <mergeCell ref="B193:H193"/>
    <mergeCell ref="B344:J344"/>
    <mergeCell ref="F62:J62"/>
    <mergeCell ref="I172:K172"/>
    <mergeCell ref="B131:K131"/>
    <mergeCell ref="L198:R198"/>
    <mergeCell ref="B76:J76"/>
    <mergeCell ref="B154:K155"/>
    <mergeCell ref="B278:K278"/>
    <mergeCell ref="L246:R338"/>
    <mergeCell ref="B323:K329"/>
    <mergeCell ref="B164:H169"/>
    <mergeCell ref="G246:K246"/>
    <mergeCell ref="B287:K287"/>
    <mergeCell ref="B318:K318"/>
    <mergeCell ref="I198:K198"/>
    <mergeCell ref="B71:D71"/>
    <mergeCell ref="B19:J37"/>
    <mergeCell ref="K18:R18"/>
  </mergeCells>
  <pageMargins left="0.7" right="0.7" top="0.75" bottom="0.75" header="0.3" footer="0.3"/>
  <pageSetup orientation="landscape" paperSize="8"/>
  <drawing xmlns:r="http://schemas.openxmlformats.org/officeDocument/2006/relationships" r:id="rId1"/>
</worksheet>
</file>

<file path=xl/worksheets/sheet4.xml><?xml version="1.0" encoding="utf-8"?>
<worksheet xmlns="http://schemas.openxmlformats.org/spreadsheetml/2006/main">
  <sheetPr>
    <tabColor theme="7"/>
    <outlinePr summaryBelow="1" summaryRight="1"/>
    <pageSetUpPr fitToPage="1"/>
  </sheetPr>
  <dimension ref="B1:O262"/>
  <sheetViews>
    <sheetView showGridLines="0" zoomScaleNormal="100" workbookViewId="0">
      <selection activeCell="G22" sqref="G22:H22"/>
    </sheetView>
  </sheetViews>
  <sheetFormatPr baseColWidth="8" defaultColWidth="8.58203125" defaultRowHeight="14"/>
  <cols>
    <col width="2.33203125" customWidth="1" style="16" min="1" max="1"/>
    <col width="5.83203125" customWidth="1" style="16" min="2" max="2"/>
    <col width="14.08203125" customWidth="1" style="16" min="3" max="3"/>
    <col width="17.33203125" customWidth="1" style="16" min="4" max="4"/>
    <col width="14.08203125" customWidth="1" style="16" min="5" max="7"/>
    <col width="15" customWidth="1" style="16" min="8" max="8"/>
    <col width="2.58203125" customWidth="1" style="16" min="9" max="9"/>
    <col width="8.58203125" customWidth="1" style="16" min="10" max="16384"/>
  </cols>
  <sheetData>
    <row r="1" ht="14.5" customHeight="1" thickBot="1">
      <c r="B1" s="87" t="n"/>
      <c r="C1" s="87" t="n"/>
      <c r="D1" s="87" t="n"/>
      <c r="E1" s="87" t="n"/>
      <c r="F1" s="87" t="n"/>
      <c r="G1" s="87" t="n"/>
      <c r="H1" s="87" t="n"/>
    </row>
    <row r="2" ht="19.5" customHeight="1" thickTop="1"/>
    <row r="3" ht="35.25" customHeight="1">
      <c r="B3" s="818" t="inlineStr">
        <is>
          <t>Loan calculator</t>
        </is>
      </c>
    </row>
    <row r="4" ht="30" customHeight="1" thickBot="1"/>
    <row r="5" ht="35.15" customHeight="1">
      <c r="B5" s="1035" t="inlineStr">
        <is>
          <t>INSTRUCTIONS
Only complete fields E10, E12 and E13. If you have a Capital Repayment Holiday, complete the Capital Repayment section.
1. Fill in loan value
2. Fill in loan term
3. All other fields will automatically populate
4. Scroll down to the table below to see the repayments after the CRH.
5. Go to the CFF (tab below)
6. Loan repayment row on the CFF has been automatically populated.</t>
        </is>
      </c>
      <c r="C5" s="921" t="n"/>
      <c r="D5" s="921" t="n"/>
      <c r="E5" s="921" t="n"/>
      <c r="F5" s="921" t="n"/>
      <c r="G5" s="921" t="n"/>
      <c r="H5" s="922" t="n"/>
      <c r="I5" s="818" t="n"/>
      <c r="J5" s="818" t="n"/>
      <c r="K5" s="818" t="n"/>
      <c r="L5" s="818" t="n"/>
      <c r="M5" s="818" t="n"/>
      <c r="N5" s="818" t="n"/>
      <c r="O5" s="818" t="n"/>
    </row>
    <row r="6" ht="35.15" customHeight="1">
      <c r="B6" s="923" t="n"/>
      <c r="H6" s="924" t="n"/>
      <c r="I6" s="818" t="n"/>
      <c r="J6" s="818" t="n"/>
      <c r="K6" s="818" t="n"/>
      <c r="L6" s="818" t="n"/>
      <c r="M6" s="818" t="n"/>
      <c r="N6" s="818" t="n"/>
      <c r="O6" s="818" t="n"/>
    </row>
    <row r="7" ht="35.15" customHeight="1">
      <c r="B7" s="923" t="n"/>
      <c r="H7" s="924" t="n"/>
      <c r="I7" s="818" t="n"/>
      <c r="J7" s="818" t="n"/>
      <c r="K7" s="818" t="n"/>
      <c r="L7" s="818" t="n"/>
      <c r="M7" s="818" t="n"/>
      <c r="N7" s="818" t="n"/>
      <c r="O7" s="818" t="n"/>
    </row>
    <row r="8" ht="35.15" customHeight="1" thickBot="1">
      <c r="B8" s="932" t="n"/>
      <c r="C8" s="928" t="n"/>
      <c r="D8" s="928" t="n"/>
      <c r="E8" s="928" t="n"/>
      <c r="F8" s="928" t="n"/>
      <c r="G8" s="928" t="n"/>
      <c r="H8" s="929" t="n"/>
      <c r="I8" s="818" t="n"/>
      <c r="K8" s="818" t="n"/>
      <c r="L8" s="818" t="n"/>
      <c r="M8" s="818" t="n"/>
      <c r="N8" s="818" t="n"/>
      <c r="O8" s="818" t="n"/>
    </row>
    <row r="9" ht="17.25" customHeight="1">
      <c r="B9" s="823" t="n"/>
      <c r="C9" s="823" t="n"/>
      <c r="D9" s="823" t="n"/>
      <c r="E9" s="823" t="n"/>
      <c r="F9" s="823" t="n"/>
      <c r="G9" s="823" t="n"/>
      <c r="H9" s="823" t="n"/>
      <c r="I9" s="818" t="n"/>
      <c r="K9" s="818" t="n"/>
      <c r="L9" s="818" t="n"/>
      <c r="M9" s="818" t="n"/>
      <c r="N9" s="818" t="n"/>
      <c r="O9" s="818" t="n"/>
    </row>
    <row r="10" ht="17.9" customHeight="1">
      <c r="B10" s="294" t="inlineStr">
        <is>
          <t>Key:</t>
        </is>
      </c>
      <c r="C10" s="823" t="n"/>
      <c r="D10" s="823" t="n"/>
      <c r="E10" s="823" t="n"/>
      <c r="F10" s="823" t="n"/>
      <c r="G10" s="823" t="n"/>
      <c r="H10" s="823" t="n"/>
      <c r="I10" s="818" t="n"/>
      <c r="J10" s="818" t="n"/>
      <c r="K10" s="818" t="n"/>
      <c r="L10" s="818" t="n"/>
      <c r="M10" s="818" t="n"/>
      <c r="N10" s="818" t="n"/>
      <c r="O10" s="818" t="n"/>
    </row>
    <row r="11" ht="17.9" customHeight="1">
      <c r="B11" s="823" t="n"/>
      <c r="C11" s="823" t="n"/>
      <c r="D11" s="823" t="n"/>
      <c r="E11" s="823" t="n"/>
      <c r="F11" s="823" t="n"/>
      <c r="G11" s="823" t="n"/>
      <c r="H11" s="823" t="n"/>
      <c r="I11" s="818" t="n"/>
      <c r="J11" s="818" t="n"/>
      <c r="K11" s="818" t="n"/>
      <c r="L11" s="818" t="n"/>
      <c r="M11" s="818" t="n"/>
      <c r="N11" s="818" t="n"/>
      <c r="O11" s="818" t="n"/>
    </row>
    <row r="12" ht="17.9" customHeight="1">
      <c r="B12" s="823" t="n"/>
      <c r="C12" s="823" t="n"/>
      <c r="D12" s="823" t="n"/>
      <c r="E12" s="293" t="n"/>
      <c r="F12" s="293" t="n"/>
      <c r="G12" s="823" t="n"/>
      <c r="H12" s="823" t="n"/>
      <c r="I12" s="818" t="n"/>
      <c r="J12" s="818" t="n"/>
      <c r="K12" s="818" t="n"/>
      <c r="L12" s="818" t="n"/>
      <c r="M12" s="818" t="n"/>
      <c r="N12" s="818" t="n"/>
      <c r="O12" s="818" t="n"/>
    </row>
    <row r="13" ht="17.9" customHeight="1">
      <c r="B13" s="823" t="n"/>
      <c r="C13" s="823" t="n"/>
      <c r="D13" s="823" t="n"/>
      <c r="E13" s="823" t="n"/>
      <c r="H13" s="823" t="n"/>
      <c r="I13" s="818" t="n"/>
      <c r="J13" s="818" t="n"/>
      <c r="K13" s="818" t="n"/>
      <c r="L13" s="818" t="n"/>
      <c r="M13" s="818" t="n"/>
      <c r="N13" s="818" t="n"/>
      <c r="O13" s="818" t="n"/>
    </row>
    <row r="14" ht="17.9" customHeight="1">
      <c r="B14" s="823" t="n"/>
      <c r="C14" s="823" t="n"/>
      <c r="D14" s="823" t="n"/>
      <c r="E14" s="823" t="n"/>
      <c r="H14" s="823" t="n"/>
      <c r="I14" s="818" t="n"/>
      <c r="J14" s="818" t="n"/>
      <c r="K14" s="818" t="n"/>
      <c r="L14" s="818" t="n"/>
      <c r="M14" s="818" t="n"/>
      <c r="N14" s="818" t="n"/>
      <c r="O14" s="818" t="n"/>
    </row>
    <row r="15" ht="17.9" customHeight="1" thickBot="1">
      <c r="B15" s="823" t="n"/>
      <c r="C15" s="823" t="n"/>
      <c r="D15" s="823" t="n"/>
      <c r="E15" s="823" t="n"/>
      <c r="F15" s="823" t="n"/>
      <c r="G15" s="823" t="n"/>
      <c r="H15" s="823" t="n"/>
      <c r="I15" s="818" t="n"/>
      <c r="J15" s="818" t="n"/>
      <c r="K15" s="818" t="n"/>
      <c r="L15" s="818" t="n"/>
      <c r="M15" s="818" t="n"/>
      <c r="N15" s="818" t="n"/>
      <c r="O15" s="818" t="n"/>
    </row>
    <row r="16" ht="30" customHeight="1" thickBot="1">
      <c r="B16" s="1036" t="inlineStr">
        <is>
          <t>Enter values</t>
        </is>
      </c>
      <c r="C16" s="921" t="n"/>
      <c r="D16" s="921" t="n"/>
      <c r="E16" s="922" t="n"/>
      <c r="G16" s="832" t="inlineStr">
        <is>
          <t>Capital Repayment Holiday</t>
        </is>
      </c>
      <c r="H16" s="921" t="n"/>
    </row>
    <row r="17" ht="14.25" customHeight="1" thickBot="1">
      <c r="B17" s="814" t="inlineStr">
        <is>
          <t>Loan amount</t>
        </is>
      </c>
      <c r="E17" s="1037" t="n">
        <v>7000</v>
      </c>
      <c r="G17" s="836" t="inlineStr">
        <is>
          <t>Do you have a CRH?</t>
        </is>
      </c>
      <c r="H17" s="1038" t="n"/>
      <c r="K17" s="296" t="n"/>
    </row>
    <row r="18" ht="14.25" customHeight="1" thickBot="1">
      <c r="B18" s="814" t="inlineStr">
        <is>
          <t>Annual interest rate</t>
        </is>
      </c>
      <c r="E18" s="91" t="n">
        <v>0.075</v>
      </c>
      <c r="G18" s="1039" t="inlineStr">
        <is>
          <t>No</t>
        </is>
      </c>
      <c r="H18" s="1040" t="n"/>
      <c r="K18" s="296" t="inlineStr">
        <is>
          <t>Yes</t>
        </is>
      </c>
    </row>
    <row r="19" ht="14.25" customHeight="1" thickBot="1">
      <c r="B19" s="814" t="inlineStr">
        <is>
          <t>Loan period in months</t>
        </is>
      </c>
      <c r="E19" s="92" t="n">
        <v>60</v>
      </c>
      <c r="G19" s="1041">
        <f>IF(ISBLANK(G18),"",IF(G18="Yes","Length of CRH (Months)","Please enter loan values"))</f>
        <v/>
      </c>
      <c r="H19" s="1042" t="n"/>
      <c r="I19" s="5" t="n"/>
      <c r="K19" s="296" t="inlineStr">
        <is>
          <t>No</t>
        </is>
      </c>
    </row>
    <row r="20" ht="14.25" customHeight="1" thickBot="1">
      <c r="B20" s="814">
        <f>IF(G18="Yes","Start date of loan after CRH","Start date of loan")</f>
        <v/>
      </c>
      <c r="E20" s="93" t="n">
        <v>44145</v>
      </c>
      <c r="G20" s="1039" t="n">
        <v>6</v>
      </c>
      <c r="H20" s="1040" t="n"/>
      <c r="I20" s="295" t="n"/>
      <c r="J20" s="295" t="n"/>
      <c r="K20" s="296" t="n"/>
    </row>
    <row r="21" ht="14.5" customHeight="1" thickBot="1">
      <c r="B21" s="814" t="inlineStr">
        <is>
          <t>Monthly payment</t>
        </is>
      </c>
      <c r="E21" s="1043">
        <f>IFERROR(IF(Values_Entered,Monthly_Payment,""), "")</f>
        <v/>
      </c>
      <c r="G21" s="828">
        <f>IF(ISBLANK(G20),"","Start date of loan")</f>
        <v/>
      </c>
      <c r="H21" s="1044" t="n"/>
      <c r="I21" s="295" t="n"/>
      <c r="J21" s="295" t="n"/>
    </row>
    <row r="22" ht="14.25" customHeight="1">
      <c r="B22" s="814" t="inlineStr">
        <is>
          <t>Number of payments</t>
        </is>
      </c>
      <c r="E22" s="95">
        <f>IFERROR(IF(Values_Entered,Loan_Years,""), "")</f>
        <v/>
      </c>
      <c r="G22" s="1045" t="n">
        <v>46099</v>
      </c>
      <c r="H22" s="1040" t="n"/>
      <c r="I22" s="295" t="n"/>
      <c r="J22" s="295" t="n"/>
    </row>
    <row r="23" ht="14.25" customHeight="1" thickBot="1">
      <c r="B23" s="814" t="inlineStr">
        <is>
          <t>Total interest</t>
        </is>
      </c>
      <c r="E23" s="1046">
        <f>IFERROR(IF(Values_Entered,Total_Cost-Loan_Amount,""), "")</f>
        <v/>
      </c>
      <c r="G23" s="828" t="inlineStr">
        <is>
          <t>Payment for CRH Period</t>
        </is>
      </c>
      <c r="H23" s="1044" t="n"/>
      <c r="I23" s="295" t="n"/>
      <c r="J23" s="295" t="n"/>
    </row>
    <row r="24" ht="14.25" customHeight="1" thickBot="1">
      <c r="B24" s="816" t="inlineStr">
        <is>
          <t>Total cost of loan</t>
        </is>
      </c>
      <c r="C24" s="928" t="n"/>
      <c r="D24" s="928" t="n"/>
      <c r="E24" s="1047">
        <f>IFERROR(IF(Values_Entered,Monthly_Payment*Number_of_Payments,""), "")</f>
        <v/>
      </c>
      <c r="G24" s="1048">
        <f>IF(ISBLANK(G20),"",G27)</f>
        <v/>
      </c>
      <c r="H24" s="1040" t="n"/>
      <c r="I24" s="295" t="n"/>
      <c r="J24" s="295" t="n"/>
    </row>
    <row r="25" ht="14.25" customHeight="1" thickBot="1">
      <c r="B25" s="810" t="n"/>
    </row>
    <row r="26" ht="28" customHeight="1">
      <c r="B26" s="98" t="inlineStr">
        <is>
          <t>No.</t>
        </is>
      </c>
      <c r="C26" s="99" t="inlineStr">
        <is>
          <t>Payment
Date</t>
        </is>
      </c>
      <c r="D26" s="99" t="inlineStr">
        <is>
          <t>Beginning
Balance</t>
        </is>
      </c>
      <c r="E26" s="99" t="inlineStr">
        <is>
          <t>Payment</t>
        </is>
      </c>
      <c r="F26" s="99" t="inlineStr">
        <is>
          <t>Principal</t>
        </is>
      </c>
      <c r="G26" s="99" t="inlineStr">
        <is>
          <t>Interest</t>
        </is>
      </c>
      <c r="H26" s="100" t="inlineStr">
        <is>
          <t>Ending
Balance</t>
        </is>
      </c>
    </row>
    <row r="27">
      <c r="B27" s="101">
        <f>IFERROR(IF(Loan_Not_Paid*Values_Entered,Payment_Number,""), "")</f>
        <v/>
      </c>
      <c r="C27" s="88">
        <f>IFERROR(IF(Loan_Not_Paid*Values_Entered,Payment_Date,""), "")</f>
        <v/>
      </c>
      <c r="D27" s="1049">
        <f>IFERROR(IF(Loan_Not_Paid*Values_Entered,Beginning_Balance,""), "")</f>
        <v/>
      </c>
      <c r="E27" s="1049">
        <f>IFERROR(IF(Loan_Not_Paid*Values_Entered,Monthly_Payment,""), "")</f>
        <v/>
      </c>
      <c r="F27" s="1049">
        <f>IFERROR(IF(Loan_Not_Paid*Values_Entered,Principal,""), "")</f>
        <v/>
      </c>
      <c r="G27" s="1049">
        <f>IFERROR(IF(Loan_Not_Paid*Values_Entered,Interest,""), "")</f>
        <v/>
      </c>
      <c r="H27" s="1050">
        <f>IFERROR(IF(Loan_Not_Paid*Values_Entered,Ending_Balance,""), "")</f>
        <v/>
      </c>
    </row>
    <row r="28">
      <c r="B28" s="101">
        <f>IFERROR(IF(Loan_Not_Paid*Values_Entered,Payment_Number,""), "")</f>
        <v/>
      </c>
      <c r="C28" s="88">
        <f>IFERROR(IF(Loan_Not_Paid*Values_Entered,Payment_Date,""), "")</f>
        <v/>
      </c>
      <c r="D28" s="1049">
        <f>IFERROR(IF(Loan_Not_Paid*Values_Entered,Beginning_Balance,""), "")</f>
        <v/>
      </c>
      <c r="E28" s="1049">
        <f>IFERROR(IF(Loan_Not_Paid*Values_Entered,Monthly_Payment,""), "")</f>
        <v/>
      </c>
      <c r="F28" s="1049">
        <f>IFERROR(IF(Loan_Not_Paid*Values_Entered,Principal,""), "")</f>
        <v/>
      </c>
      <c r="G28" s="1049">
        <f>IFERROR(IF(Loan_Not_Paid*Values_Entered,Interest,""), "")</f>
        <v/>
      </c>
      <c r="H28" s="1050">
        <f>IFERROR(IF(Loan_Not_Paid*Values_Entered,Ending_Balance,""), "")</f>
        <v/>
      </c>
    </row>
    <row r="29">
      <c r="B29" s="101">
        <f>IFERROR(IF(Loan_Not_Paid*Values_Entered,Payment_Number,""), "")</f>
        <v/>
      </c>
      <c r="C29" s="88">
        <f>IFERROR(IF(Loan_Not_Paid*Values_Entered,Payment_Date,""), "")</f>
        <v/>
      </c>
      <c r="D29" s="1049">
        <f>IFERROR(IF(Loan_Not_Paid*Values_Entered,Beginning_Balance,""), "")</f>
        <v/>
      </c>
      <c r="E29" s="1049">
        <f>IFERROR(IF(Loan_Not_Paid*Values_Entered,Monthly_Payment,""), "")</f>
        <v/>
      </c>
      <c r="F29" s="1049">
        <f>IFERROR(IF(Loan_Not_Paid*Values_Entered,Principal,""), "")</f>
        <v/>
      </c>
      <c r="G29" s="1049">
        <f>IFERROR(IF(Loan_Not_Paid*Values_Entered,Interest,""), "")</f>
        <v/>
      </c>
      <c r="H29" s="1050">
        <f>IFERROR(IF(Loan_Not_Paid*Values_Entered,Ending_Balance,""), "")</f>
        <v/>
      </c>
    </row>
    <row r="30">
      <c r="B30" s="101">
        <f>IFERROR(IF(Loan_Not_Paid*Values_Entered,Payment_Number,""), "")</f>
        <v/>
      </c>
      <c r="C30" s="88">
        <f>IFERROR(IF(Loan_Not_Paid*Values_Entered,Payment_Date,""), "")</f>
        <v/>
      </c>
      <c r="D30" s="1049">
        <f>IFERROR(IF(Loan_Not_Paid*Values_Entered,Beginning_Balance,""), "")</f>
        <v/>
      </c>
      <c r="E30" s="1049">
        <f>IFERROR(IF(Loan_Not_Paid*Values_Entered,Monthly_Payment,""), "")</f>
        <v/>
      </c>
      <c r="F30" s="1049">
        <f>IFERROR(IF(Loan_Not_Paid*Values_Entered,Principal,""), "")</f>
        <v/>
      </c>
      <c r="G30" s="1049">
        <f>IFERROR(IF(Loan_Not_Paid*Values_Entered,Interest,""), "")</f>
        <v/>
      </c>
      <c r="H30" s="1050">
        <f>IFERROR(IF(Loan_Not_Paid*Values_Entered,Ending_Balance,""), "")</f>
        <v/>
      </c>
    </row>
    <row r="31">
      <c r="B31" s="101">
        <f>IFERROR(IF(Loan_Not_Paid*Values_Entered,Payment_Number,""), "")</f>
        <v/>
      </c>
      <c r="C31" s="88">
        <f>IFERROR(IF(Loan_Not_Paid*Values_Entered,Payment_Date,""), "")</f>
        <v/>
      </c>
      <c r="D31" s="1049">
        <f>IFERROR(IF(Loan_Not_Paid*Values_Entered,Beginning_Balance,""), "")</f>
        <v/>
      </c>
      <c r="E31" s="1049">
        <f>IFERROR(IF(Loan_Not_Paid*Values_Entered,Monthly_Payment,""), "")</f>
        <v/>
      </c>
      <c r="F31" s="1049">
        <f>IFERROR(IF(Loan_Not_Paid*Values_Entered,Principal,""), "")</f>
        <v/>
      </c>
      <c r="G31" s="1049">
        <f>IFERROR(IF(Loan_Not_Paid*Values_Entered,Interest,""), "")</f>
        <v/>
      </c>
      <c r="H31" s="1050">
        <f>IFERROR(IF(Loan_Not_Paid*Values_Entered,Ending_Balance,""), "")</f>
        <v/>
      </c>
    </row>
    <row r="32">
      <c r="B32" s="101">
        <f>IFERROR(IF(Loan_Not_Paid*Values_Entered,Payment_Number,""), "")</f>
        <v/>
      </c>
      <c r="C32" s="88">
        <f>IFERROR(IF(Loan_Not_Paid*Values_Entered,Payment_Date,""), "")</f>
        <v/>
      </c>
      <c r="D32" s="1049">
        <f>IFERROR(IF(Loan_Not_Paid*Values_Entered,Beginning_Balance,""), "")</f>
        <v/>
      </c>
      <c r="E32" s="1049">
        <f>IFERROR(IF(Loan_Not_Paid*Values_Entered,Monthly_Payment,""), "")</f>
        <v/>
      </c>
      <c r="F32" s="1049">
        <f>IFERROR(IF(Loan_Not_Paid*Values_Entered,Principal,""), "")</f>
        <v/>
      </c>
      <c r="G32" s="1049">
        <f>IFERROR(IF(Loan_Not_Paid*Values_Entered,Interest,""), "")</f>
        <v/>
      </c>
      <c r="H32" s="1050">
        <f>IFERROR(IF(Loan_Not_Paid*Values_Entered,Ending_Balance,""), "")</f>
        <v/>
      </c>
    </row>
    <row r="33">
      <c r="B33" s="101">
        <f>IFERROR(IF(Loan_Not_Paid*Values_Entered,Payment_Number,""), "")</f>
        <v/>
      </c>
      <c r="C33" s="88">
        <f>IFERROR(IF(Loan_Not_Paid*Values_Entered,Payment_Date,""), "")</f>
        <v/>
      </c>
      <c r="D33" s="1049">
        <f>IFERROR(IF(Loan_Not_Paid*Values_Entered,Beginning_Balance,""), "")</f>
        <v/>
      </c>
      <c r="E33" s="1049">
        <f>IFERROR(IF(Loan_Not_Paid*Values_Entered,Monthly_Payment,""), "")</f>
        <v/>
      </c>
      <c r="F33" s="1049">
        <f>IFERROR(IF(Loan_Not_Paid*Values_Entered,Principal,""), "")</f>
        <v/>
      </c>
      <c r="G33" s="1049">
        <f>IFERROR(IF(Loan_Not_Paid*Values_Entered,Interest,""), "")</f>
        <v/>
      </c>
      <c r="H33" s="1050">
        <f>IFERROR(IF(Loan_Not_Paid*Values_Entered,Ending_Balance,""), "")</f>
        <v/>
      </c>
    </row>
    <row r="34">
      <c r="B34" s="101">
        <f>IFERROR(IF(Loan_Not_Paid*Values_Entered,Payment_Number,""), "")</f>
        <v/>
      </c>
      <c r="C34" s="88">
        <f>IFERROR(IF(Loan_Not_Paid*Values_Entered,Payment_Date,""), "")</f>
        <v/>
      </c>
      <c r="D34" s="1049">
        <f>IFERROR(IF(Loan_Not_Paid*Values_Entered,Beginning_Balance,""), "")</f>
        <v/>
      </c>
      <c r="E34" s="1049">
        <f>IFERROR(IF(Loan_Not_Paid*Values_Entered,Monthly_Payment,""), "")</f>
        <v/>
      </c>
      <c r="F34" s="1049">
        <f>IFERROR(IF(Loan_Not_Paid*Values_Entered,Principal,""), "")</f>
        <v/>
      </c>
      <c r="G34" s="1049">
        <f>IFERROR(IF(Loan_Not_Paid*Values_Entered,Interest,""), "")</f>
        <v/>
      </c>
      <c r="H34" s="1050">
        <f>IFERROR(IF(Loan_Not_Paid*Values_Entered,Ending_Balance,""), "")</f>
        <v/>
      </c>
    </row>
    <row r="35">
      <c r="B35" s="101">
        <f>IFERROR(IF(Loan_Not_Paid*Values_Entered,Payment_Number,""), "")</f>
        <v/>
      </c>
      <c r="C35" s="88">
        <f>IFERROR(IF(Loan_Not_Paid*Values_Entered,Payment_Date,""), "")</f>
        <v/>
      </c>
      <c r="D35" s="1049">
        <f>IFERROR(IF(Loan_Not_Paid*Values_Entered,Beginning_Balance,""), "")</f>
        <v/>
      </c>
      <c r="E35" s="1049">
        <f>IFERROR(IF(Loan_Not_Paid*Values_Entered,Monthly_Payment,""), "")</f>
        <v/>
      </c>
      <c r="F35" s="1049">
        <f>IFERROR(IF(Loan_Not_Paid*Values_Entered,Principal,""), "")</f>
        <v/>
      </c>
      <c r="G35" s="1049">
        <f>IFERROR(IF(Loan_Not_Paid*Values_Entered,Interest,""), "")</f>
        <v/>
      </c>
      <c r="H35" s="1050">
        <f>IFERROR(IF(Loan_Not_Paid*Values_Entered,Ending_Balance,""), "")</f>
        <v/>
      </c>
    </row>
    <row r="36">
      <c r="B36" s="101">
        <f>IFERROR(IF(Loan_Not_Paid*Values_Entered,Payment_Number,""), "")</f>
        <v/>
      </c>
      <c r="C36" s="88">
        <f>IFERROR(IF(Loan_Not_Paid*Values_Entered,Payment_Date,""), "")</f>
        <v/>
      </c>
      <c r="D36" s="1049">
        <f>IFERROR(IF(Loan_Not_Paid*Values_Entered,Beginning_Balance,""), "")</f>
        <v/>
      </c>
      <c r="E36" s="1049">
        <f>IFERROR(IF(Loan_Not_Paid*Values_Entered,Monthly_Payment,""), "")</f>
        <v/>
      </c>
      <c r="F36" s="1049">
        <f>IFERROR(IF(Loan_Not_Paid*Values_Entered,Principal,""), "")</f>
        <v/>
      </c>
      <c r="G36" s="1049">
        <f>IFERROR(IF(Loan_Not_Paid*Values_Entered,Interest,""), "")</f>
        <v/>
      </c>
      <c r="H36" s="1050">
        <f>IFERROR(IF(Loan_Not_Paid*Values_Entered,Ending_Balance,""), "")</f>
        <v/>
      </c>
    </row>
    <row r="37">
      <c r="B37" s="101">
        <f>IFERROR(IF(Loan_Not_Paid*Values_Entered,Payment_Number,""), "")</f>
        <v/>
      </c>
      <c r="C37" s="88">
        <f>IFERROR(IF(Loan_Not_Paid*Values_Entered,Payment_Date,""), "")</f>
        <v/>
      </c>
      <c r="D37" s="1049">
        <f>IFERROR(IF(Loan_Not_Paid*Values_Entered,Beginning_Balance,""), "")</f>
        <v/>
      </c>
      <c r="E37" s="1049">
        <f>IFERROR(IF(Loan_Not_Paid*Values_Entered,Monthly_Payment,""), "")</f>
        <v/>
      </c>
      <c r="F37" s="1049">
        <f>IFERROR(IF(Loan_Not_Paid*Values_Entered,Principal,""), "")</f>
        <v/>
      </c>
      <c r="G37" s="1049">
        <f>IFERROR(IF(Loan_Not_Paid*Values_Entered,Interest,""), "")</f>
        <v/>
      </c>
      <c r="H37" s="1050">
        <f>IFERROR(IF(Loan_Not_Paid*Values_Entered,Ending_Balance,""), "")</f>
        <v/>
      </c>
    </row>
    <row r="38">
      <c r="B38" s="101">
        <f>IFERROR(IF(Loan_Not_Paid*Values_Entered,Payment_Number,""), "")</f>
        <v/>
      </c>
      <c r="C38" s="88">
        <f>IFERROR(IF(Loan_Not_Paid*Values_Entered,Payment_Date,""), "")</f>
        <v/>
      </c>
      <c r="D38" s="1049">
        <f>IFERROR(IF(Loan_Not_Paid*Values_Entered,Beginning_Balance,""), "")</f>
        <v/>
      </c>
      <c r="E38" s="1049">
        <f>IFERROR(IF(Loan_Not_Paid*Values_Entered,Monthly_Payment,""), "")</f>
        <v/>
      </c>
      <c r="F38" s="1049">
        <f>IFERROR(IF(Loan_Not_Paid*Values_Entered,Principal,""), "")</f>
        <v/>
      </c>
      <c r="G38" s="1049">
        <f>IFERROR(IF(Loan_Not_Paid*Values_Entered,Interest,""), "")</f>
        <v/>
      </c>
      <c r="H38" s="1050">
        <f>IFERROR(IF(Loan_Not_Paid*Values_Entered,Ending_Balance,""), "")</f>
        <v/>
      </c>
    </row>
    <row r="39">
      <c r="B39" s="101">
        <f>IFERROR(IF(Loan_Not_Paid*Values_Entered,Payment_Number,""), "")</f>
        <v/>
      </c>
      <c r="C39" s="88">
        <f>IFERROR(IF(Loan_Not_Paid*Values_Entered,Payment_Date,""), "")</f>
        <v/>
      </c>
      <c r="D39" s="1049">
        <f>IFERROR(IF(Loan_Not_Paid*Values_Entered,Beginning_Balance,""), "")</f>
        <v/>
      </c>
      <c r="E39" s="1049">
        <f>IFERROR(IF(Loan_Not_Paid*Values_Entered,Monthly_Payment,""), "")</f>
        <v/>
      </c>
      <c r="F39" s="1049">
        <f>IFERROR(IF(Loan_Not_Paid*Values_Entered,Principal,""), "")</f>
        <v/>
      </c>
      <c r="G39" s="1049">
        <f>IFERROR(IF(Loan_Not_Paid*Values_Entered,Interest,""), "")</f>
        <v/>
      </c>
      <c r="H39" s="1050">
        <f>IFERROR(IF(Loan_Not_Paid*Values_Entered,Ending_Balance,""), "")</f>
        <v/>
      </c>
    </row>
    <row r="40">
      <c r="B40" s="101">
        <f>IFERROR(IF(Loan_Not_Paid*Values_Entered,Payment_Number,""), "")</f>
        <v/>
      </c>
      <c r="C40" s="88">
        <f>IFERROR(IF(Loan_Not_Paid*Values_Entered,Payment_Date,""), "")</f>
        <v/>
      </c>
      <c r="D40" s="1049">
        <f>IFERROR(IF(Loan_Not_Paid*Values_Entered,Beginning_Balance,""), "")</f>
        <v/>
      </c>
      <c r="E40" s="1049">
        <f>IFERROR(IF(Loan_Not_Paid*Values_Entered,Monthly_Payment,""), "")</f>
        <v/>
      </c>
      <c r="F40" s="1049">
        <f>IFERROR(IF(Loan_Not_Paid*Values_Entered,Principal,""), "")</f>
        <v/>
      </c>
      <c r="G40" s="1049">
        <f>IFERROR(IF(Loan_Not_Paid*Values_Entered,Interest,""), "")</f>
        <v/>
      </c>
      <c r="H40" s="1050">
        <f>IFERROR(IF(Loan_Not_Paid*Values_Entered,Ending_Balance,""), "")</f>
        <v/>
      </c>
    </row>
    <row r="41">
      <c r="B41" s="101">
        <f>IFERROR(IF(Loan_Not_Paid*Values_Entered,Payment_Number,""), "")</f>
        <v/>
      </c>
      <c r="C41" s="88">
        <f>IFERROR(IF(Loan_Not_Paid*Values_Entered,Payment_Date,""), "")</f>
        <v/>
      </c>
      <c r="D41" s="1049">
        <f>IFERROR(IF(Loan_Not_Paid*Values_Entered,Beginning_Balance,""), "")</f>
        <v/>
      </c>
      <c r="E41" s="1049">
        <f>IFERROR(IF(Loan_Not_Paid*Values_Entered,Monthly_Payment,""), "")</f>
        <v/>
      </c>
      <c r="F41" s="1049">
        <f>IFERROR(IF(Loan_Not_Paid*Values_Entered,Principal,""), "")</f>
        <v/>
      </c>
      <c r="G41" s="1049">
        <f>IFERROR(IF(Loan_Not_Paid*Values_Entered,Interest,""), "")</f>
        <v/>
      </c>
      <c r="H41" s="1050">
        <f>IFERROR(IF(Loan_Not_Paid*Values_Entered,Ending_Balance,""), "")</f>
        <v/>
      </c>
    </row>
    <row r="42">
      <c r="B42" s="101">
        <f>IFERROR(IF(Loan_Not_Paid*Values_Entered,Payment_Number,""), "")</f>
        <v/>
      </c>
      <c r="C42" s="88">
        <f>IFERROR(IF(Loan_Not_Paid*Values_Entered,Payment_Date,""), "")</f>
        <v/>
      </c>
      <c r="D42" s="1049">
        <f>IFERROR(IF(Loan_Not_Paid*Values_Entered,Beginning_Balance,""), "")</f>
        <v/>
      </c>
      <c r="E42" s="1049">
        <f>IFERROR(IF(Loan_Not_Paid*Values_Entered,Monthly_Payment,""), "")</f>
        <v/>
      </c>
      <c r="F42" s="1049">
        <f>IFERROR(IF(Loan_Not_Paid*Values_Entered,Principal,""), "")</f>
        <v/>
      </c>
      <c r="G42" s="1049">
        <f>IFERROR(IF(Loan_Not_Paid*Values_Entered,Interest,""), "")</f>
        <v/>
      </c>
      <c r="H42" s="1050">
        <f>IFERROR(IF(Loan_Not_Paid*Values_Entered,Ending_Balance,""), "")</f>
        <v/>
      </c>
    </row>
    <row r="43">
      <c r="B43" s="101">
        <f>IFERROR(IF(Loan_Not_Paid*Values_Entered,Payment_Number,""), "")</f>
        <v/>
      </c>
      <c r="C43" s="88">
        <f>IFERROR(IF(Loan_Not_Paid*Values_Entered,Payment_Date,""), "")</f>
        <v/>
      </c>
      <c r="D43" s="1049">
        <f>IFERROR(IF(Loan_Not_Paid*Values_Entered,Beginning_Balance,""), "")</f>
        <v/>
      </c>
      <c r="E43" s="1049">
        <f>IFERROR(IF(Loan_Not_Paid*Values_Entered,Monthly_Payment,""), "")</f>
        <v/>
      </c>
      <c r="F43" s="1049">
        <f>IFERROR(IF(Loan_Not_Paid*Values_Entered,Principal,""), "")</f>
        <v/>
      </c>
      <c r="G43" s="1049">
        <f>IFERROR(IF(Loan_Not_Paid*Values_Entered,Interest,""), "")</f>
        <v/>
      </c>
      <c r="H43" s="1050">
        <f>IFERROR(IF(Loan_Not_Paid*Values_Entered,Ending_Balance,""), "")</f>
        <v/>
      </c>
    </row>
    <row r="44">
      <c r="B44" s="101">
        <f>IFERROR(IF(Loan_Not_Paid*Values_Entered,Payment_Number,""), "")</f>
        <v/>
      </c>
      <c r="C44" s="88">
        <f>IFERROR(IF(Loan_Not_Paid*Values_Entered,Payment_Date,""), "")</f>
        <v/>
      </c>
      <c r="D44" s="1049">
        <f>IFERROR(IF(Loan_Not_Paid*Values_Entered,Beginning_Balance,""), "")</f>
        <v/>
      </c>
      <c r="E44" s="1049">
        <f>IFERROR(IF(Loan_Not_Paid*Values_Entered,Monthly_Payment,""), "")</f>
        <v/>
      </c>
      <c r="F44" s="1049">
        <f>IFERROR(IF(Loan_Not_Paid*Values_Entered,Principal,""), "")</f>
        <v/>
      </c>
      <c r="G44" s="1049">
        <f>IFERROR(IF(Loan_Not_Paid*Values_Entered,Interest,""), "")</f>
        <v/>
      </c>
      <c r="H44" s="1050">
        <f>IFERROR(IF(Loan_Not_Paid*Values_Entered,Ending_Balance,""), "")</f>
        <v/>
      </c>
    </row>
    <row r="45">
      <c r="B45" s="101">
        <f>IFERROR(IF(Loan_Not_Paid*Values_Entered,Payment_Number,""), "")</f>
        <v/>
      </c>
      <c r="C45" s="88">
        <f>IFERROR(IF(Loan_Not_Paid*Values_Entered,Payment_Date,""), "")</f>
        <v/>
      </c>
      <c r="D45" s="1049">
        <f>IFERROR(IF(Loan_Not_Paid*Values_Entered,Beginning_Balance,""), "")</f>
        <v/>
      </c>
      <c r="E45" s="1049">
        <f>IFERROR(IF(Loan_Not_Paid*Values_Entered,Monthly_Payment,""), "")</f>
        <v/>
      </c>
      <c r="F45" s="1049">
        <f>IFERROR(IF(Loan_Not_Paid*Values_Entered,Principal,""), "")</f>
        <v/>
      </c>
      <c r="G45" s="1049">
        <f>IFERROR(IF(Loan_Not_Paid*Values_Entered,Interest,""), "")</f>
        <v/>
      </c>
      <c r="H45" s="1050">
        <f>IFERROR(IF(Loan_Not_Paid*Values_Entered,Ending_Balance,""), "")</f>
        <v/>
      </c>
    </row>
    <row r="46">
      <c r="B46" s="101">
        <f>IFERROR(IF(Loan_Not_Paid*Values_Entered,Payment_Number,""), "")</f>
        <v/>
      </c>
      <c r="C46" s="88">
        <f>IFERROR(IF(Loan_Not_Paid*Values_Entered,Payment_Date,""), "")</f>
        <v/>
      </c>
      <c r="D46" s="1049">
        <f>IFERROR(IF(Loan_Not_Paid*Values_Entered,Beginning_Balance,""), "")</f>
        <v/>
      </c>
      <c r="E46" s="1049">
        <f>IFERROR(IF(Loan_Not_Paid*Values_Entered,Monthly_Payment,""), "")</f>
        <v/>
      </c>
      <c r="F46" s="1049">
        <f>IFERROR(IF(Loan_Not_Paid*Values_Entered,Principal,""), "")</f>
        <v/>
      </c>
      <c r="G46" s="1049">
        <f>IFERROR(IF(Loan_Not_Paid*Values_Entered,Interest,""), "")</f>
        <v/>
      </c>
      <c r="H46" s="1050">
        <f>IFERROR(IF(Loan_Not_Paid*Values_Entered,Ending_Balance,""), "")</f>
        <v/>
      </c>
    </row>
    <row r="47">
      <c r="B47" s="101">
        <f>IFERROR(IF(Loan_Not_Paid*Values_Entered,Payment_Number,""), "")</f>
        <v/>
      </c>
      <c r="C47" s="88">
        <f>IFERROR(IF(Loan_Not_Paid*Values_Entered,Payment_Date,""), "")</f>
        <v/>
      </c>
      <c r="D47" s="1049">
        <f>IFERROR(IF(Loan_Not_Paid*Values_Entered,Beginning_Balance,""), "")</f>
        <v/>
      </c>
      <c r="E47" s="1049">
        <f>IFERROR(IF(Loan_Not_Paid*Values_Entered,Monthly_Payment,""), "")</f>
        <v/>
      </c>
      <c r="F47" s="1049">
        <f>IFERROR(IF(Loan_Not_Paid*Values_Entered,Principal,""), "")</f>
        <v/>
      </c>
      <c r="G47" s="1049">
        <f>IFERROR(IF(Loan_Not_Paid*Values_Entered,Interest,""), "")</f>
        <v/>
      </c>
      <c r="H47" s="1050">
        <f>IFERROR(IF(Loan_Not_Paid*Values_Entered,Ending_Balance,""), "")</f>
        <v/>
      </c>
    </row>
    <row r="48">
      <c r="B48" s="101">
        <f>IFERROR(IF(Loan_Not_Paid*Values_Entered,Payment_Number,""), "")</f>
        <v/>
      </c>
      <c r="C48" s="88">
        <f>IFERROR(IF(Loan_Not_Paid*Values_Entered,Payment_Date,""), "")</f>
        <v/>
      </c>
      <c r="D48" s="1049">
        <f>IFERROR(IF(Loan_Not_Paid*Values_Entered,Beginning_Balance,""), "")</f>
        <v/>
      </c>
      <c r="E48" s="1049">
        <f>IFERROR(IF(Loan_Not_Paid*Values_Entered,Monthly_Payment,""), "")</f>
        <v/>
      </c>
      <c r="F48" s="1049">
        <f>IFERROR(IF(Loan_Not_Paid*Values_Entered,Principal,""), "")</f>
        <v/>
      </c>
      <c r="G48" s="1049">
        <f>IFERROR(IF(Loan_Not_Paid*Values_Entered,Interest,""), "")</f>
        <v/>
      </c>
      <c r="H48" s="1050">
        <f>IFERROR(IF(Loan_Not_Paid*Values_Entered,Ending_Balance,""), "")</f>
        <v/>
      </c>
    </row>
    <row r="49">
      <c r="B49" s="101">
        <f>IFERROR(IF(Loan_Not_Paid*Values_Entered,Payment_Number,""), "")</f>
        <v/>
      </c>
      <c r="C49" s="88">
        <f>IFERROR(IF(Loan_Not_Paid*Values_Entered,Payment_Date,""), "")</f>
        <v/>
      </c>
      <c r="D49" s="1049">
        <f>IFERROR(IF(Loan_Not_Paid*Values_Entered,Beginning_Balance,""), "")</f>
        <v/>
      </c>
      <c r="E49" s="1049">
        <f>IFERROR(IF(Loan_Not_Paid*Values_Entered,Monthly_Payment,""), "")</f>
        <v/>
      </c>
      <c r="F49" s="1049">
        <f>IFERROR(IF(Loan_Not_Paid*Values_Entered,Principal,""), "")</f>
        <v/>
      </c>
      <c r="G49" s="1049">
        <f>IFERROR(IF(Loan_Not_Paid*Values_Entered,Interest,""), "")</f>
        <v/>
      </c>
      <c r="H49" s="1050">
        <f>IFERROR(IF(Loan_Not_Paid*Values_Entered,Ending_Balance,""), "")</f>
        <v/>
      </c>
    </row>
    <row r="50">
      <c r="B50" s="101">
        <f>IFERROR(IF(Loan_Not_Paid*Values_Entered,Payment_Number,""), "")</f>
        <v/>
      </c>
      <c r="C50" s="88">
        <f>IFERROR(IF(Loan_Not_Paid*Values_Entered,Payment_Date,""), "")</f>
        <v/>
      </c>
      <c r="D50" s="1049">
        <f>IFERROR(IF(Loan_Not_Paid*Values_Entered,Beginning_Balance,""), "")</f>
        <v/>
      </c>
      <c r="E50" s="1049">
        <f>IFERROR(IF(Loan_Not_Paid*Values_Entered,Monthly_Payment,""), "")</f>
        <v/>
      </c>
      <c r="F50" s="1049">
        <f>IFERROR(IF(Loan_Not_Paid*Values_Entered,Principal,""), "")</f>
        <v/>
      </c>
      <c r="G50" s="1049">
        <f>IFERROR(IF(Loan_Not_Paid*Values_Entered,Interest,""), "")</f>
        <v/>
      </c>
      <c r="H50" s="1050">
        <f>IFERROR(IF(Loan_Not_Paid*Values_Entered,Ending_Balance,""), "")</f>
        <v/>
      </c>
    </row>
    <row r="51">
      <c r="B51" s="101">
        <f>IFERROR(IF(Loan_Not_Paid*Values_Entered,Payment_Number,""), "")</f>
        <v/>
      </c>
      <c r="C51" s="88">
        <f>IFERROR(IF(Loan_Not_Paid*Values_Entered,Payment_Date,""), "")</f>
        <v/>
      </c>
      <c r="D51" s="1049">
        <f>IFERROR(IF(Loan_Not_Paid*Values_Entered,Beginning_Balance,""), "")</f>
        <v/>
      </c>
      <c r="E51" s="1049">
        <f>IFERROR(IF(Loan_Not_Paid*Values_Entered,Monthly_Payment,""), "")</f>
        <v/>
      </c>
      <c r="F51" s="1049">
        <f>IFERROR(IF(Loan_Not_Paid*Values_Entered,Principal,""), "")</f>
        <v/>
      </c>
      <c r="G51" s="1049">
        <f>IFERROR(IF(Loan_Not_Paid*Values_Entered,Interest,""), "")</f>
        <v/>
      </c>
      <c r="H51" s="1050">
        <f>IFERROR(IF(Loan_Not_Paid*Values_Entered,Ending_Balance,""), "")</f>
        <v/>
      </c>
    </row>
    <row r="52">
      <c r="B52" s="101">
        <f>IFERROR(IF(Loan_Not_Paid*Values_Entered,Payment_Number,""), "")</f>
        <v/>
      </c>
      <c r="C52" s="88">
        <f>IFERROR(IF(Loan_Not_Paid*Values_Entered,Payment_Date,""), "")</f>
        <v/>
      </c>
      <c r="D52" s="1049">
        <f>IFERROR(IF(Loan_Not_Paid*Values_Entered,Beginning_Balance,""), "")</f>
        <v/>
      </c>
      <c r="E52" s="1049">
        <f>IFERROR(IF(Loan_Not_Paid*Values_Entered,Monthly_Payment,""), "")</f>
        <v/>
      </c>
      <c r="F52" s="1049">
        <f>IFERROR(IF(Loan_Not_Paid*Values_Entered,Principal,""), "")</f>
        <v/>
      </c>
      <c r="G52" s="1049">
        <f>IFERROR(IF(Loan_Not_Paid*Values_Entered,Interest,""), "")</f>
        <v/>
      </c>
      <c r="H52" s="1050">
        <f>IFERROR(IF(Loan_Not_Paid*Values_Entered,Ending_Balance,""), "")</f>
        <v/>
      </c>
    </row>
    <row r="53">
      <c r="B53" s="101">
        <f>IFERROR(IF(Loan_Not_Paid*Values_Entered,Payment_Number,""), "")</f>
        <v/>
      </c>
      <c r="C53" s="88">
        <f>IFERROR(IF(Loan_Not_Paid*Values_Entered,Payment_Date,""), "")</f>
        <v/>
      </c>
      <c r="D53" s="1049">
        <f>IFERROR(IF(Loan_Not_Paid*Values_Entered,Beginning_Balance,""), "")</f>
        <v/>
      </c>
      <c r="E53" s="1049">
        <f>IFERROR(IF(Loan_Not_Paid*Values_Entered,Monthly_Payment,""), "")</f>
        <v/>
      </c>
      <c r="F53" s="1049">
        <f>IFERROR(IF(Loan_Not_Paid*Values_Entered,Principal,""), "")</f>
        <v/>
      </c>
      <c r="G53" s="1049">
        <f>IFERROR(IF(Loan_Not_Paid*Values_Entered,Interest,""), "")</f>
        <v/>
      </c>
      <c r="H53" s="1050">
        <f>IFERROR(IF(Loan_Not_Paid*Values_Entered,Ending_Balance,""), "")</f>
        <v/>
      </c>
    </row>
    <row r="54">
      <c r="B54" s="101">
        <f>IFERROR(IF(Loan_Not_Paid*Values_Entered,Payment_Number,""), "")</f>
        <v/>
      </c>
      <c r="C54" s="88">
        <f>IFERROR(IF(Loan_Not_Paid*Values_Entered,Payment_Date,""), "")</f>
        <v/>
      </c>
      <c r="D54" s="1049">
        <f>IFERROR(IF(Loan_Not_Paid*Values_Entered,Beginning_Balance,""), "")</f>
        <v/>
      </c>
      <c r="E54" s="1049">
        <f>IFERROR(IF(Loan_Not_Paid*Values_Entered,Monthly_Payment,""), "")</f>
        <v/>
      </c>
      <c r="F54" s="1049">
        <f>IFERROR(IF(Loan_Not_Paid*Values_Entered,Principal,""), "")</f>
        <v/>
      </c>
      <c r="G54" s="1049">
        <f>IFERROR(IF(Loan_Not_Paid*Values_Entered,Interest,""), "")</f>
        <v/>
      </c>
      <c r="H54" s="1050">
        <f>IFERROR(IF(Loan_Not_Paid*Values_Entered,Ending_Balance,""), "")</f>
        <v/>
      </c>
    </row>
    <row r="55">
      <c r="B55" s="101">
        <f>IFERROR(IF(Loan_Not_Paid*Values_Entered,Payment_Number,""), "")</f>
        <v/>
      </c>
      <c r="C55" s="88">
        <f>IFERROR(IF(Loan_Not_Paid*Values_Entered,Payment_Date,""), "")</f>
        <v/>
      </c>
      <c r="D55" s="1049">
        <f>IFERROR(IF(Loan_Not_Paid*Values_Entered,Beginning_Balance,""), "")</f>
        <v/>
      </c>
      <c r="E55" s="1049">
        <f>IFERROR(IF(Loan_Not_Paid*Values_Entered,Monthly_Payment,""), "")</f>
        <v/>
      </c>
      <c r="F55" s="1049">
        <f>IFERROR(IF(Loan_Not_Paid*Values_Entered,Principal,""), "")</f>
        <v/>
      </c>
      <c r="G55" s="1049">
        <f>IFERROR(IF(Loan_Not_Paid*Values_Entered,Interest,""), "")</f>
        <v/>
      </c>
      <c r="H55" s="1050">
        <f>IFERROR(IF(Loan_Not_Paid*Values_Entered,Ending_Balance,""), "")</f>
        <v/>
      </c>
    </row>
    <row r="56">
      <c r="B56" s="101">
        <f>IFERROR(IF(Loan_Not_Paid*Values_Entered,Payment_Number,""), "")</f>
        <v/>
      </c>
      <c r="C56" s="88">
        <f>IFERROR(IF(Loan_Not_Paid*Values_Entered,Payment_Date,""), "")</f>
        <v/>
      </c>
      <c r="D56" s="1049">
        <f>IFERROR(IF(Loan_Not_Paid*Values_Entered,Beginning_Balance,""), "")</f>
        <v/>
      </c>
      <c r="E56" s="1049">
        <f>IFERROR(IF(Loan_Not_Paid*Values_Entered,Monthly_Payment,""), "")</f>
        <v/>
      </c>
      <c r="F56" s="1049">
        <f>IFERROR(IF(Loan_Not_Paid*Values_Entered,Principal,""), "")</f>
        <v/>
      </c>
      <c r="G56" s="1049">
        <f>IFERROR(IF(Loan_Not_Paid*Values_Entered,Interest,""), "")</f>
        <v/>
      </c>
      <c r="H56" s="1050">
        <f>IFERROR(IF(Loan_Not_Paid*Values_Entered,Ending_Balance,""), "")</f>
        <v/>
      </c>
    </row>
    <row r="57">
      <c r="B57" s="101">
        <f>IFERROR(IF(Loan_Not_Paid*Values_Entered,Payment_Number,""), "")</f>
        <v/>
      </c>
      <c r="C57" s="88">
        <f>IFERROR(IF(Loan_Not_Paid*Values_Entered,Payment_Date,""), "")</f>
        <v/>
      </c>
      <c r="D57" s="1049">
        <f>IFERROR(IF(Loan_Not_Paid*Values_Entered,Beginning_Balance,""), "")</f>
        <v/>
      </c>
      <c r="E57" s="1049">
        <f>IFERROR(IF(Loan_Not_Paid*Values_Entered,Monthly_Payment,""), "")</f>
        <v/>
      </c>
      <c r="F57" s="1049">
        <f>IFERROR(IF(Loan_Not_Paid*Values_Entered,Principal,""), "")</f>
        <v/>
      </c>
      <c r="G57" s="1049">
        <f>IFERROR(IF(Loan_Not_Paid*Values_Entered,Interest,""), "")</f>
        <v/>
      </c>
      <c r="H57" s="1050">
        <f>IFERROR(IF(Loan_Not_Paid*Values_Entered,Ending_Balance,""), "")</f>
        <v/>
      </c>
    </row>
    <row r="58">
      <c r="B58" s="101">
        <f>IFERROR(IF(Loan_Not_Paid*Values_Entered,Payment_Number,""), "")</f>
        <v/>
      </c>
      <c r="C58" s="88">
        <f>IFERROR(IF(Loan_Not_Paid*Values_Entered,Payment_Date,""), "")</f>
        <v/>
      </c>
      <c r="D58" s="1049">
        <f>IFERROR(IF(Loan_Not_Paid*Values_Entered,Beginning_Balance,""), "")</f>
        <v/>
      </c>
      <c r="E58" s="1049">
        <f>IFERROR(IF(Loan_Not_Paid*Values_Entered,Monthly_Payment,""), "")</f>
        <v/>
      </c>
      <c r="F58" s="1049">
        <f>IFERROR(IF(Loan_Not_Paid*Values_Entered,Principal,""), "")</f>
        <v/>
      </c>
      <c r="G58" s="1049">
        <f>IFERROR(IF(Loan_Not_Paid*Values_Entered,Interest,""), "")</f>
        <v/>
      </c>
      <c r="H58" s="1050">
        <f>IFERROR(IF(Loan_Not_Paid*Values_Entered,Ending_Balance,""), "")</f>
        <v/>
      </c>
    </row>
    <row r="59">
      <c r="B59" s="101">
        <f>IFERROR(IF(Loan_Not_Paid*Values_Entered,Payment_Number,""), "")</f>
        <v/>
      </c>
      <c r="C59" s="88">
        <f>IFERROR(IF(Loan_Not_Paid*Values_Entered,Payment_Date,""), "")</f>
        <v/>
      </c>
      <c r="D59" s="1049">
        <f>IFERROR(IF(Loan_Not_Paid*Values_Entered,Beginning_Balance,""), "")</f>
        <v/>
      </c>
      <c r="E59" s="1049">
        <f>IFERROR(IF(Loan_Not_Paid*Values_Entered,Monthly_Payment,""), "")</f>
        <v/>
      </c>
      <c r="F59" s="1049">
        <f>IFERROR(IF(Loan_Not_Paid*Values_Entered,Principal,""), "")</f>
        <v/>
      </c>
      <c r="G59" s="1049">
        <f>IFERROR(IF(Loan_Not_Paid*Values_Entered,Interest,""), "")</f>
        <v/>
      </c>
      <c r="H59" s="1050">
        <f>IFERROR(IF(Loan_Not_Paid*Values_Entered,Ending_Balance,""), "")</f>
        <v/>
      </c>
    </row>
    <row r="60">
      <c r="B60" s="101">
        <f>IFERROR(IF(Loan_Not_Paid*Values_Entered,Payment_Number,""), "")</f>
        <v/>
      </c>
      <c r="C60" s="88">
        <f>IFERROR(IF(Loan_Not_Paid*Values_Entered,Payment_Date,""), "")</f>
        <v/>
      </c>
      <c r="D60" s="1049">
        <f>IFERROR(IF(Loan_Not_Paid*Values_Entered,Beginning_Balance,""), "")</f>
        <v/>
      </c>
      <c r="E60" s="1049">
        <f>IFERROR(IF(Loan_Not_Paid*Values_Entered,Monthly_Payment,""), "")</f>
        <v/>
      </c>
      <c r="F60" s="1049">
        <f>IFERROR(IF(Loan_Not_Paid*Values_Entered,Principal,""), "")</f>
        <v/>
      </c>
      <c r="G60" s="1049">
        <f>IFERROR(IF(Loan_Not_Paid*Values_Entered,Interest,""), "")</f>
        <v/>
      </c>
      <c r="H60" s="1050">
        <f>IFERROR(IF(Loan_Not_Paid*Values_Entered,Ending_Balance,""), "")</f>
        <v/>
      </c>
    </row>
    <row r="61">
      <c r="B61" s="101">
        <f>IFERROR(IF(Loan_Not_Paid*Values_Entered,Payment_Number,""), "")</f>
        <v/>
      </c>
      <c r="C61" s="88">
        <f>IFERROR(IF(Loan_Not_Paid*Values_Entered,Payment_Date,""), "")</f>
        <v/>
      </c>
      <c r="D61" s="1049">
        <f>IFERROR(IF(Loan_Not_Paid*Values_Entered,Beginning_Balance,""), "")</f>
        <v/>
      </c>
      <c r="E61" s="1049">
        <f>IFERROR(IF(Loan_Not_Paid*Values_Entered,Monthly_Payment,""), "")</f>
        <v/>
      </c>
      <c r="F61" s="1049">
        <f>IFERROR(IF(Loan_Not_Paid*Values_Entered,Principal,""), "")</f>
        <v/>
      </c>
      <c r="G61" s="1049">
        <f>IFERROR(IF(Loan_Not_Paid*Values_Entered,Interest,""), "")</f>
        <v/>
      </c>
      <c r="H61" s="1050">
        <f>IFERROR(IF(Loan_Not_Paid*Values_Entered,Ending_Balance,""), "")</f>
        <v/>
      </c>
    </row>
    <row r="62">
      <c r="B62" s="101">
        <f>IFERROR(IF(Loan_Not_Paid*Values_Entered,Payment_Number,""), "")</f>
        <v/>
      </c>
      <c r="C62" s="88">
        <f>IFERROR(IF(Loan_Not_Paid*Values_Entered,Payment_Date,""), "")</f>
        <v/>
      </c>
      <c r="D62" s="1049">
        <f>IFERROR(IF(Loan_Not_Paid*Values_Entered,Beginning_Balance,""), "")</f>
        <v/>
      </c>
      <c r="E62" s="1049">
        <f>IFERROR(IF(Loan_Not_Paid*Values_Entered,Monthly_Payment,""), "")</f>
        <v/>
      </c>
      <c r="F62" s="1049">
        <f>IFERROR(IF(Loan_Not_Paid*Values_Entered,Principal,""), "")</f>
        <v/>
      </c>
      <c r="G62" s="1049">
        <f>IFERROR(IF(Loan_Not_Paid*Values_Entered,Interest,""), "")</f>
        <v/>
      </c>
      <c r="H62" s="1050">
        <f>IFERROR(IF(Loan_Not_Paid*Values_Entered,Ending_Balance,""), "")</f>
        <v/>
      </c>
    </row>
    <row r="63">
      <c r="B63" s="101">
        <f>IFERROR(IF(Loan_Not_Paid*Values_Entered,Payment_Number,""), "")</f>
        <v/>
      </c>
      <c r="C63" s="88">
        <f>IFERROR(IF(Loan_Not_Paid*Values_Entered,Payment_Date,""), "")</f>
        <v/>
      </c>
      <c r="D63" s="1049">
        <f>IFERROR(IF(Loan_Not_Paid*Values_Entered,Beginning_Balance,""), "")</f>
        <v/>
      </c>
      <c r="E63" s="1049">
        <f>IFERROR(IF(Loan_Not_Paid*Values_Entered,Monthly_Payment,""), "")</f>
        <v/>
      </c>
      <c r="F63" s="1049">
        <f>IFERROR(IF(Loan_Not_Paid*Values_Entered,Principal,""), "")</f>
        <v/>
      </c>
      <c r="G63" s="1049">
        <f>IFERROR(IF(Loan_Not_Paid*Values_Entered,Interest,""), "")</f>
        <v/>
      </c>
      <c r="H63" s="1050">
        <f>IFERROR(IF(Loan_Not_Paid*Values_Entered,Ending_Balance,""), "")</f>
        <v/>
      </c>
    </row>
    <row r="64">
      <c r="B64" s="101">
        <f>IFERROR(IF(Loan_Not_Paid*Values_Entered,Payment_Number,""), "")</f>
        <v/>
      </c>
      <c r="C64" s="88">
        <f>IFERROR(IF(Loan_Not_Paid*Values_Entered,Payment_Date,""), "")</f>
        <v/>
      </c>
      <c r="D64" s="1049">
        <f>IFERROR(IF(Loan_Not_Paid*Values_Entered,Beginning_Balance,""), "")</f>
        <v/>
      </c>
      <c r="E64" s="1049">
        <f>IFERROR(IF(Loan_Not_Paid*Values_Entered,Monthly_Payment,""), "")</f>
        <v/>
      </c>
      <c r="F64" s="1049">
        <f>IFERROR(IF(Loan_Not_Paid*Values_Entered,Principal,""), "")</f>
        <v/>
      </c>
      <c r="G64" s="1049">
        <f>IFERROR(IF(Loan_Not_Paid*Values_Entered,Interest,""), "")</f>
        <v/>
      </c>
      <c r="H64" s="1050">
        <f>IFERROR(IF(Loan_Not_Paid*Values_Entered,Ending_Balance,""), "")</f>
        <v/>
      </c>
    </row>
    <row r="65">
      <c r="B65" s="101">
        <f>IFERROR(IF(Loan_Not_Paid*Values_Entered,Payment_Number,""), "")</f>
        <v/>
      </c>
      <c r="C65" s="88">
        <f>IFERROR(IF(Loan_Not_Paid*Values_Entered,Payment_Date,""), "")</f>
        <v/>
      </c>
      <c r="D65" s="1049">
        <f>IFERROR(IF(Loan_Not_Paid*Values_Entered,Beginning_Balance,""), "")</f>
        <v/>
      </c>
      <c r="E65" s="1049">
        <f>IFERROR(IF(Loan_Not_Paid*Values_Entered,Monthly_Payment,""), "")</f>
        <v/>
      </c>
      <c r="F65" s="1049">
        <f>IFERROR(IF(Loan_Not_Paid*Values_Entered,Principal,""), "")</f>
        <v/>
      </c>
      <c r="G65" s="1049">
        <f>IFERROR(IF(Loan_Not_Paid*Values_Entered,Interest,""), "")</f>
        <v/>
      </c>
      <c r="H65" s="1050">
        <f>IFERROR(IF(Loan_Not_Paid*Values_Entered,Ending_Balance,""), "")</f>
        <v/>
      </c>
    </row>
    <row r="66">
      <c r="B66" s="101">
        <f>IFERROR(IF(Loan_Not_Paid*Values_Entered,Payment_Number,""), "")</f>
        <v/>
      </c>
      <c r="C66" s="88">
        <f>IFERROR(IF(Loan_Not_Paid*Values_Entered,Payment_Date,""), "")</f>
        <v/>
      </c>
      <c r="D66" s="1049">
        <f>IFERROR(IF(Loan_Not_Paid*Values_Entered,Beginning_Balance,""), "")</f>
        <v/>
      </c>
      <c r="E66" s="1049">
        <f>IFERROR(IF(Loan_Not_Paid*Values_Entered,Monthly_Payment,""), "")</f>
        <v/>
      </c>
      <c r="F66" s="1049">
        <f>IFERROR(IF(Loan_Not_Paid*Values_Entered,Principal,""), "")</f>
        <v/>
      </c>
      <c r="G66" s="1049">
        <f>IFERROR(IF(Loan_Not_Paid*Values_Entered,Interest,""), "")</f>
        <v/>
      </c>
      <c r="H66" s="1050">
        <f>IFERROR(IF(Loan_Not_Paid*Values_Entered,Ending_Balance,""), "")</f>
        <v/>
      </c>
    </row>
    <row r="67">
      <c r="B67" s="101">
        <f>IFERROR(IF(Loan_Not_Paid*Values_Entered,Payment_Number,""), "")</f>
        <v/>
      </c>
      <c r="C67" s="88">
        <f>IFERROR(IF(Loan_Not_Paid*Values_Entered,Payment_Date,""), "")</f>
        <v/>
      </c>
      <c r="D67" s="1049">
        <f>IFERROR(IF(Loan_Not_Paid*Values_Entered,Beginning_Balance,""), "")</f>
        <v/>
      </c>
      <c r="E67" s="1049">
        <f>IFERROR(IF(Loan_Not_Paid*Values_Entered,Monthly_Payment,""), "")</f>
        <v/>
      </c>
      <c r="F67" s="1049">
        <f>IFERROR(IF(Loan_Not_Paid*Values_Entered,Principal,""), "")</f>
        <v/>
      </c>
      <c r="G67" s="1049">
        <f>IFERROR(IF(Loan_Not_Paid*Values_Entered,Interest,""), "")</f>
        <v/>
      </c>
      <c r="H67" s="1050">
        <f>IFERROR(IF(Loan_Not_Paid*Values_Entered,Ending_Balance,""), "")</f>
        <v/>
      </c>
    </row>
    <row r="68">
      <c r="B68" s="101">
        <f>IFERROR(IF(Loan_Not_Paid*Values_Entered,Payment_Number,""), "")</f>
        <v/>
      </c>
      <c r="C68" s="88">
        <f>IFERROR(IF(Loan_Not_Paid*Values_Entered,Payment_Date,""), "")</f>
        <v/>
      </c>
      <c r="D68" s="1049">
        <f>IFERROR(IF(Loan_Not_Paid*Values_Entered,Beginning_Balance,""), "")</f>
        <v/>
      </c>
      <c r="E68" s="1049">
        <f>IFERROR(IF(Loan_Not_Paid*Values_Entered,Monthly_Payment,""), "")</f>
        <v/>
      </c>
      <c r="F68" s="1049">
        <f>IFERROR(IF(Loan_Not_Paid*Values_Entered,Principal,""), "")</f>
        <v/>
      </c>
      <c r="G68" s="1049">
        <f>IFERROR(IF(Loan_Not_Paid*Values_Entered,Interest,""), "")</f>
        <v/>
      </c>
      <c r="H68" s="1050">
        <f>IFERROR(IF(Loan_Not_Paid*Values_Entered,Ending_Balance,""), "")</f>
        <v/>
      </c>
    </row>
    <row r="69">
      <c r="B69" s="101">
        <f>IFERROR(IF(Loan_Not_Paid*Values_Entered,Payment_Number,""), "")</f>
        <v/>
      </c>
      <c r="C69" s="88">
        <f>IFERROR(IF(Loan_Not_Paid*Values_Entered,Payment_Date,""), "")</f>
        <v/>
      </c>
      <c r="D69" s="1049">
        <f>IFERROR(IF(Loan_Not_Paid*Values_Entered,Beginning_Balance,""), "")</f>
        <v/>
      </c>
      <c r="E69" s="1049">
        <f>IFERROR(IF(Loan_Not_Paid*Values_Entered,Monthly_Payment,""), "")</f>
        <v/>
      </c>
      <c r="F69" s="1049">
        <f>IFERROR(IF(Loan_Not_Paid*Values_Entered,Principal,""), "")</f>
        <v/>
      </c>
      <c r="G69" s="1049">
        <f>IFERROR(IF(Loan_Not_Paid*Values_Entered,Interest,""), "")</f>
        <v/>
      </c>
      <c r="H69" s="1050">
        <f>IFERROR(IF(Loan_Not_Paid*Values_Entered,Ending_Balance,""), "")</f>
        <v/>
      </c>
    </row>
    <row r="70">
      <c r="B70" s="101">
        <f>IFERROR(IF(Loan_Not_Paid*Values_Entered,Payment_Number,""), "")</f>
        <v/>
      </c>
      <c r="C70" s="88">
        <f>IFERROR(IF(Loan_Not_Paid*Values_Entered,Payment_Date,""), "")</f>
        <v/>
      </c>
      <c r="D70" s="1049">
        <f>IFERROR(IF(Loan_Not_Paid*Values_Entered,Beginning_Balance,""), "")</f>
        <v/>
      </c>
      <c r="E70" s="1049">
        <f>IFERROR(IF(Loan_Not_Paid*Values_Entered,Monthly_Payment,""), "")</f>
        <v/>
      </c>
      <c r="F70" s="1049">
        <f>IFERROR(IF(Loan_Not_Paid*Values_Entered,Principal,""), "")</f>
        <v/>
      </c>
      <c r="G70" s="1049">
        <f>IFERROR(IF(Loan_Not_Paid*Values_Entered,Interest,""), "")</f>
        <v/>
      </c>
      <c r="H70" s="1050">
        <f>IFERROR(IF(Loan_Not_Paid*Values_Entered,Ending_Balance,""), "")</f>
        <v/>
      </c>
    </row>
    <row r="71">
      <c r="B71" s="101">
        <f>IFERROR(IF(Loan_Not_Paid*Values_Entered,Payment_Number,""), "")</f>
        <v/>
      </c>
      <c r="C71" s="88">
        <f>IFERROR(IF(Loan_Not_Paid*Values_Entered,Payment_Date,""), "")</f>
        <v/>
      </c>
      <c r="D71" s="1049">
        <f>IFERROR(IF(Loan_Not_Paid*Values_Entered,Beginning_Balance,""), "")</f>
        <v/>
      </c>
      <c r="E71" s="1049">
        <f>IFERROR(IF(Loan_Not_Paid*Values_Entered,Monthly_Payment,""), "")</f>
        <v/>
      </c>
      <c r="F71" s="1049">
        <f>IFERROR(IF(Loan_Not_Paid*Values_Entered,Principal,""), "")</f>
        <v/>
      </c>
      <c r="G71" s="1049">
        <f>IFERROR(IF(Loan_Not_Paid*Values_Entered,Interest,""), "")</f>
        <v/>
      </c>
      <c r="H71" s="1050">
        <f>IFERROR(IF(Loan_Not_Paid*Values_Entered,Ending_Balance,""), "")</f>
        <v/>
      </c>
    </row>
    <row r="72">
      <c r="B72" s="101">
        <f>IFERROR(IF(Loan_Not_Paid*Values_Entered,Payment_Number,""), "")</f>
        <v/>
      </c>
      <c r="C72" s="88">
        <f>IFERROR(IF(Loan_Not_Paid*Values_Entered,Payment_Date,""), "")</f>
        <v/>
      </c>
      <c r="D72" s="1049">
        <f>IFERROR(IF(Loan_Not_Paid*Values_Entered,Beginning_Balance,""), "")</f>
        <v/>
      </c>
      <c r="E72" s="1049">
        <f>IFERROR(IF(Loan_Not_Paid*Values_Entered,Monthly_Payment,""), "")</f>
        <v/>
      </c>
      <c r="F72" s="1049">
        <f>IFERROR(IF(Loan_Not_Paid*Values_Entered,Principal,""), "")</f>
        <v/>
      </c>
      <c r="G72" s="1049">
        <f>IFERROR(IF(Loan_Not_Paid*Values_Entered,Interest,""), "")</f>
        <v/>
      </c>
      <c r="H72" s="1050">
        <f>IFERROR(IF(Loan_Not_Paid*Values_Entered,Ending_Balance,""), "")</f>
        <v/>
      </c>
    </row>
    <row r="73">
      <c r="B73" s="101">
        <f>IFERROR(IF(Loan_Not_Paid*Values_Entered,Payment_Number,""), "")</f>
        <v/>
      </c>
      <c r="C73" s="88">
        <f>IFERROR(IF(Loan_Not_Paid*Values_Entered,Payment_Date,""), "")</f>
        <v/>
      </c>
      <c r="D73" s="1049">
        <f>IFERROR(IF(Loan_Not_Paid*Values_Entered,Beginning_Balance,""), "")</f>
        <v/>
      </c>
      <c r="E73" s="1049">
        <f>IFERROR(IF(Loan_Not_Paid*Values_Entered,Monthly_Payment,""), "")</f>
        <v/>
      </c>
      <c r="F73" s="1049">
        <f>IFERROR(IF(Loan_Not_Paid*Values_Entered,Principal,""), "")</f>
        <v/>
      </c>
      <c r="G73" s="1049">
        <f>IFERROR(IF(Loan_Not_Paid*Values_Entered,Interest,""), "")</f>
        <v/>
      </c>
      <c r="H73" s="1050">
        <f>IFERROR(IF(Loan_Not_Paid*Values_Entered,Ending_Balance,""), "")</f>
        <v/>
      </c>
    </row>
    <row r="74">
      <c r="B74" s="101">
        <f>IFERROR(IF(Loan_Not_Paid*Values_Entered,Payment_Number,""), "")</f>
        <v/>
      </c>
      <c r="C74" s="88">
        <f>IFERROR(IF(Loan_Not_Paid*Values_Entered,Payment_Date,""), "")</f>
        <v/>
      </c>
      <c r="D74" s="1049">
        <f>IFERROR(IF(Loan_Not_Paid*Values_Entered,Beginning_Balance,""), "")</f>
        <v/>
      </c>
      <c r="E74" s="1049">
        <f>IFERROR(IF(Loan_Not_Paid*Values_Entered,Monthly_Payment,""), "")</f>
        <v/>
      </c>
      <c r="F74" s="1049">
        <f>IFERROR(IF(Loan_Not_Paid*Values_Entered,Principal,""), "")</f>
        <v/>
      </c>
      <c r="G74" s="1049">
        <f>IFERROR(IF(Loan_Not_Paid*Values_Entered,Interest,""), "")</f>
        <v/>
      </c>
      <c r="H74" s="1050">
        <f>IFERROR(IF(Loan_Not_Paid*Values_Entered,Ending_Balance,""), "")</f>
        <v/>
      </c>
    </row>
    <row r="75">
      <c r="B75" s="101">
        <f>IFERROR(IF(Loan_Not_Paid*Values_Entered,Payment_Number,""), "")</f>
        <v/>
      </c>
      <c r="C75" s="88">
        <f>IFERROR(IF(Loan_Not_Paid*Values_Entered,Payment_Date,""), "")</f>
        <v/>
      </c>
      <c r="D75" s="1049">
        <f>IFERROR(IF(Loan_Not_Paid*Values_Entered,Beginning_Balance,""), "")</f>
        <v/>
      </c>
      <c r="E75" s="1049">
        <f>IFERROR(IF(Loan_Not_Paid*Values_Entered,Monthly_Payment,""), "")</f>
        <v/>
      </c>
      <c r="F75" s="1049">
        <f>IFERROR(IF(Loan_Not_Paid*Values_Entered,Principal,""), "")</f>
        <v/>
      </c>
      <c r="G75" s="1049">
        <f>IFERROR(IF(Loan_Not_Paid*Values_Entered,Interest,""), "")</f>
        <v/>
      </c>
      <c r="H75" s="1050">
        <f>IFERROR(IF(Loan_Not_Paid*Values_Entered,Ending_Balance,""), "")</f>
        <v/>
      </c>
    </row>
    <row r="76">
      <c r="B76" s="101">
        <f>IFERROR(IF(Loan_Not_Paid*Values_Entered,Payment_Number,""), "")</f>
        <v/>
      </c>
      <c r="C76" s="88">
        <f>IFERROR(IF(Loan_Not_Paid*Values_Entered,Payment_Date,""), "")</f>
        <v/>
      </c>
      <c r="D76" s="1049">
        <f>IFERROR(IF(Loan_Not_Paid*Values_Entered,Beginning_Balance,""), "")</f>
        <v/>
      </c>
      <c r="E76" s="1049">
        <f>IFERROR(IF(Loan_Not_Paid*Values_Entered,Monthly_Payment,""), "")</f>
        <v/>
      </c>
      <c r="F76" s="1049">
        <f>IFERROR(IF(Loan_Not_Paid*Values_Entered,Principal,""), "")</f>
        <v/>
      </c>
      <c r="G76" s="1049">
        <f>IFERROR(IF(Loan_Not_Paid*Values_Entered,Interest,""), "")</f>
        <v/>
      </c>
      <c r="H76" s="1050">
        <f>IFERROR(IF(Loan_Not_Paid*Values_Entered,Ending_Balance,""), "")</f>
        <v/>
      </c>
    </row>
    <row r="77">
      <c r="B77" s="101">
        <f>IFERROR(IF(Loan_Not_Paid*Values_Entered,Payment_Number,""), "")</f>
        <v/>
      </c>
      <c r="C77" s="88">
        <f>IFERROR(IF(Loan_Not_Paid*Values_Entered,Payment_Date,""), "")</f>
        <v/>
      </c>
      <c r="D77" s="1049">
        <f>IFERROR(IF(Loan_Not_Paid*Values_Entered,Beginning_Balance,""), "")</f>
        <v/>
      </c>
      <c r="E77" s="1049">
        <f>IFERROR(IF(Loan_Not_Paid*Values_Entered,Monthly_Payment,""), "")</f>
        <v/>
      </c>
      <c r="F77" s="1049">
        <f>IFERROR(IF(Loan_Not_Paid*Values_Entered,Principal,""), "")</f>
        <v/>
      </c>
      <c r="G77" s="1049">
        <f>IFERROR(IF(Loan_Not_Paid*Values_Entered,Interest,""), "")</f>
        <v/>
      </c>
      <c r="H77" s="1050">
        <f>IFERROR(IF(Loan_Not_Paid*Values_Entered,Ending_Balance,""), "")</f>
        <v/>
      </c>
    </row>
    <row r="78">
      <c r="B78" s="101">
        <f>IFERROR(IF(Loan_Not_Paid*Values_Entered,Payment_Number,""), "")</f>
        <v/>
      </c>
      <c r="C78" s="88">
        <f>IFERROR(IF(Loan_Not_Paid*Values_Entered,Payment_Date,""), "")</f>
        <v/>
      </c>
      <c r="D78" s="1049">
        <f>IFERROR(IF(Loan_Not_Paid*Values_Entered,Beginning_Balance,""), "")</f>
        <v/>
      </c>
      <c r="E78" s="1049">
        <f>IFERROR(IF(Loan_Not_Paid*Values_Entered,Monthly_Payment,""), "")</f>
        <v/>
      </c>
      <c r="F78" s="1049">
        <f>IFERROR(IF(Loan_Not_Paid*Values_Entered,Principal,""), "")</f>
        <v/>
      </c>
      <c r="G78" s="1049">
        <f>IFERROR(IF(Loan_Not_Paid*Values_Entered,Interest,""), "")</f>
        <v/>
      </c>
      <c r="H78" s="1050">
        <f>IFERROR(IF(Loan_Not_Paid*Values_Entered,Ending_Balance,""), "")</f>
        <v/>
      </c>
    </row>
    <row r="79">
      <c r="B79" s="101">
        <f>IFERROR(IF(Loan_Not_Paid*Values_Entered,Payment_Number,""), "")</f>
        <v/>
      </c>
      <c r="C79" s="88">
        <f>IFERROR(IF(Loan_Not_Paid*Values_Entered,Payment_Date,""), "")</f>
        <v/>
      </c>
      <c r="D79" s="1049">
        <f>IFERROR(IF(Loan_Not_Paid*Values_Entered,Beginning_Balance,""), "")</f>
        <v/>
      </c>
      <c r="E79" s="1049">
        <f>IFERROR(IF(Loan_Not_Paid*Values_Entered,Monthly_Payment,""), "")</f>
        <v/>
      </c>
      <c r="F79" s="1049">
        <f>IFERROR(IF(Loan_Not_Paid*Values_Entered,Principal,""), "")</f>
        <v/>
      </c>
      <c r="G79" s="1049">
        <f>IFERROR(IF(Loan_Not_Paid*Values_Entered,Interest,""), "")</f>
        <v/>
      </c>
      <c r="H79" s="1050">
        <f>IFERROR(IF(Loan_Not_Paid*Values_Entered,Ending_Balance,""), "")</f>
        <v/>
      </c>
    </row>
    <row r="80">
      <c r="B80" s="101">
        <f>IFERROR(IF(Loan_Not_Paid*Values_Entered,Payment_Number,""), "")</f>
        <v/>
      </c>
      <c r="C80" s="88">
        <f>IFERROR(IF(Loan_Not_Paid*Values_Entered,Payment_Date,""), "")</f>
        <v/>
      </c>
      <c r="D80" s="1049">
        <f>IFERROR(IF(Loan_Not_Paid*Values_Entered,Beginning_Balance,""), "")</f>
        <v/>
      </c>
      <c r="E80" s="1049">
        <f>IFERROR(IF(Loan_Not_Paid*Values_Entered,Monthly_Payment,""), "")</f>
        <v/>
      </c>
      <c r="F80" s="1049">
        <f>IFERROR(IF(Loan_Not_Paid*Values_Entered,Principal,""), "")</f>
        <v/>
      </c>
      <c r="G80" s="1049">
        <f>IFERROR(IF(Loan_Not_Paid*Values_Entered,Interest,""), "")</f>
        <v/>
      </c>
      <c r="H80" s="1050">
        <f>IFERROR(IF(Loan_Not_Paid*Values_Entered,Ending_Balance,""), "")</f>
        <v/>
      </c>
    </row>
    <row r="81">
      <c r="B81" s="101">
        <f>IFERROR(IF(Loan_Not_Paid*Values_Entered,Payment_Number,""), "")</f>
        <v/>
      </c>
      <c r="C81" s="88">
        <f>IFERROR(IF(Loan_Not_Paid*Values_Entered,Payment_Date,""), "")</f>
        <v/>
      </c>
      <c r="D81" s="1049">
        <f>IFERROR(IF(Loan_Not_Paid*Values_Entered,Beginning_Balance,""), "")</f>
        <v/>
      </c>
      <c r="E81" s="1049">
        <f>IFERROR(IF(Loan_Not_Paid*Values_Entered,Monthly_Payment,""), "")</f>
        <v/>
      </c>
      <c r="F81" s="1049">
        <f>IFERROR(IF(Loan_Not_Paid*Values_Entered,Principal,""), "")</f>
        <v/>
      </c>
      <c r="G81" s="1049">
        <f>IFERROR(IF(Loan_Not_Paid*Values_Entered,Interest,""), "")</f>
        <v/>
      </c>
      <c r="H81" s="1050">
        <f>IFERROR(IF(Loan_Not_Paid*Values_Entered,Ending_Balance,""), "")</f>
        <v/>
      </c>
    </row>
    <row r="82">
      <c r="B82" s="101">
        <f>IFERROR(IF(Loan_Not_Paid*Values_Entered,Payment_Number,""), "")</f>
        <v/>
      </c>
      <c r="C82" s="88">
        <f>IFERROR(IF(Loan_Not_Paid*Values_Entered,Payment_Date,""), "")</f>
        <v/>
      </c>
      <c r="D82" s="1049">
        <f>IFERROR(IF(Loan_Not_Paid*Values_Entered,Beginning_Balance,""), "")</f>
        <v/>
      </c>
      <c r="E82" s="1049">
        <f>IFERROR(IF(Loan_Not_Paid*Values_Entered,Monthly_Payment,""), "")</f>
        <v/>
      </c>
      <c r="F82" s="1049">
        <f>IFERROR(IF(Loan_Not_Paid*Values_Entered,Principal,""), "")</f>
        <v/>
      </c>
      <c r="G82" s="1049">
        <f>IFERROR(IF(Loan_Not_Paid*Values_Entered,Interest,""), "")</f>
        <v/>
      </c>
      <c r="H82" s="1050">
        <f>IFERROR(IF(Loan_Not_Paid*Values_Entered,Ending_Balance,""), "")</f>
        <v/>
      </c>
    </row>
    <row r="83">
      <c r="B83" s="101">
        <f>IFERROR(IF(Loan_Not_Paid*Values_Entered,Payment_Number,""), "")</f>
        <v/>
      </c>
      <c r="C83" s="88">
        <f>IFERROR(IF(Loan_Not_Paid*Values_Entered,Payment_Date,""), "")</f>
        <v/>
      </c>
      <c r="D83" s="1049">
        <f>IFERROR(IF(Loan_Not_Paid*Values_Entered,Beginning_Balance,""), "")</f>
        <v/>
      </c>
      <c r="E83" s="1049">
        <f>IFERROR(IF(Loan_Not_Paid*Values_Entered,Monthly_Payment,""), "")</f>
        <v/>
      </c>
      <c r="F83" s="1049">
        <f>IFERROR(IF(Loan_Not_Paid*Values_Entered,Principal,""), "")</f>
        <v/>
      </c>
      <c r="G83" s="1049">
        <f>IFERROR(IF(Loan_Not_Paid*Values_Entered,Interest,""), "")</f>
        <v/>
      </c>
      <c r="H83" s="1050">
        <f>IFERROR(IF(Loan_Not_Paid*Values_Entered,Ending_Balance,""), "")</f>
        <v/>
      </c>
    </row>
    <row r="84">
      <c r="B84" s="101">
        <f>IFERROR(IF(Loan_Not_Paid*Values_Entered,Payment_Number,""), "")</f>
        <v/>
      </c>
      <c r="C84" s="88">
        <f>IFERROR(IF(Loan_Not_Paid*Values_Entered,Payment_Date,""), "")</f>
        <v/>
      </c>
      <c r="D84" s="1049">
        <f>IFERROR(IF(Loan_Not_Paid*Values_Entered,Beginning_Balance,""), "")</f>
        <v/>
      </c>
      <c r="E84" s="1049">
        <f>IFERROR(IF(Loan_Not_Paid*Values_Entered,Monthly_Payment,""), "")</f>
        <v/>
      </c>
      <c r="F84" s="1049">
        <f>IFERROR(IF(Loan_Not_Paid*Values_Entered,Principal,""), "")</f>
        <v/>
      </c>
      <c r="G84" s="1049">
        <f>IFERROR(IF(Loan_Not_Paid*Values_Entered,Interest,""), "")</f>
        <v/>
      </c>
      <c r="H84" s="1050">
        <f>IFERROR(IF(Loan_Not_Paid*Values_Entered,Ending_Balance,""), "")</f>
        <v/>
      </c>
    </row>
    <row r="85">
      <c r="B85" s="101">
        <f>IFERROR(IF(Loan_Not_Paid*Values_Entered,Payment_Number,""), "")</f>
        <v/>
      </c>
      <c r="C85" s="88">
        <f>IFERROR(IF(Loan_Not_Paid*Values_Entered,Payment_Date,""), "")</f>
        <v/>
      </c>
      <c r="D85" s="1049">
        <f>IFERROR(IF(Loan_Not_Paid*Values_Entered,Beginning_Balance,""), "")</f>
        <v/>
      </c>
      <c r="E85" s="1049">
        <f>IFERROR(IF(Loan_Not_Paid*Values_Entered,Monthly_Payment,""), "")</f>
        <v/>
      </c>
      <c r="F85" s="1049">
        <f>IFERROR(IF(Loan_Not_Paid*Values_Entered,Principal,""), "")</f>
        <v/>
      </c>
      <c r="G85" s="1049">
        <f>IFERROR(IF(Loan_Not_Paid*Values_Entered,Interest,""), "")</f>
        <v/>
      </c>
      <c r="H85" s="1050">
        <f>IFERROR(IF(Loan_Not_Paid*Values_Entered,Ending_Balance,""), "")</f>
        <v/>
      </c>
    </row>
    <row r="86" ht="14.5" customHeight="1" thickBot="1">
      <c r="B86" s="103">
        <f>IFERROR(IF(Loan_Not_Paid*Values_Entered,Payment_Number,""), "")</f>
        <v/>
      </c>
      <c r="C86" s="104">
        <f>IFERROR(IF(Loan_Not_Paid*Values_Entered,Payment_Date,""), "")</f>
        <v/>
      </c>
      <c r="D86" s="1051">
        <f>IFERROR(IF(Loan_Not_Paid*Values_Entered,Beginning_Balance,""), "")</f>
        <v/>
      </c>
      <c r="E86" s="1051">
        <f>IFERROR(IF(Loan_Not_Paid*Values_Entered,Monthly_Payment,""), "")</f>
        <v/>
      </c>
      <c r="F86" s="1051">
        <f>IFERROR(IF(Loan_Not_Paid*Values_Entered,Principal,""), "")</f>
        <v/>
      </c>
      <c r="G86" s="1051">
        <f>IFERROR(IF(Loan_Not_Paid*Values_Entered,Interest,""), "")</f>
        <v/>
      </c>
      <c r="H86" s="1052">
        <f>IFERROR(IF(Loan_Not_Paid*Values_Entered,Ending_Balance,""), "")</f>
        <v/>
      </c>
    </row>
    <row r="87">
      <c r="B87" s="299">
        <f>IFERROR(IF(Loan_Not_Paid*Values_Entered,Payment_Number,""), "")</f>
        <v/>
      </c>
      <c r="C87" s="300">
        <f>IFERROR(IF(Loan_Not_Paid*Values_Entered,Payment_Date,""), "")</f>
        <v/>
      </c>
      <c r="D87" s="1053">
        <f>IFERROR(IF(Loan_Not_Paid*Values_Entered,Beginning_Balance,""), "")</f>
        <v/>
      </c>
      <c r="E87" s="1053">
        <f>IFERROR(IF(Loan_Not_Paid*Values_Entered,Monthly_Payment,""), "")</f>
        <v/>
      </c>
      <c r="F87" s="1053">
        <f>IFERROR(IF(Loan_Not_Paid*Values_Entered,Principal,""), "")</f>
        <v/>
      </c>
      <c r="G87" s="1053">
        <f>IFERROR(IF(Loan_Not_Paid*Values_Entered,Interest,""), "")</f>
        <v/>
      </c>
      <c r="H87" s="1053">
        <f>IFERROR(IF(Loan_Not_Paid*Values_Entered,Ending_Balance,""), "")</f>
        <v/>
      </c>
    </row>
    <row r="88">
      <c r="B88" s="299">
        <f>IFERROR(IF(Loan_Not_Paid*Values_Entered,Payment_Number,""), "")</f>
        <v/>
      </c>
      <c r="C88" s="300">
        <f>IFERROR(IF(Loan_Not_Paid*Values_Entered,Payment_Date,""), "")</f>
        <v/>
      </c>
      <c r="D88" s="1053">
        <f>IFERROR(IF(Loan_Not_Paid*Values_Entered,Beginning_Balance,""), "")</f>
        <v/>
      </c>
      <c r="E88" s="1053">
        <f>IFERROR(IF(Loan_Not_Paid*Values_Entered,Monthly_Payment,""), "")</f>
        <v/>
      </c>
      <c r="F88" s="1053">
        <f>IFERROR(IF(Loan_Not_Paid*Values_Entered,Principal,""), "")</f>
        <v/>
      </c>
      <c r="G88" s="1053">
        <f>IFERROR(IF(Loan_Not_Paid*Values_Entered,Interest,""), "")</f>
        <v/>
      </c>
      <c r="H88" s="1053">
        <f>IFERROR(IF(Loan_Not_Paid*Values_Entered,Ending_Balance,""), "")</f>
        <v/>
      </c>
    </row>
    <row r="89">
      <c r="B89" s="299">
        <f>IFERROR(IF(Loan_Not_Paid*Values_Entered,Payment_Number,""), "")</f>
        <v/>
      </c>
      <c r="C89" s="300">
        <f>IFERROR(IF(Loan_Not_Paid*Values_Entered,Payment_Date,""), "")</f>
        <v/>
      </c>
      <c r="D89" s="1053">
        <f>IFERROR(IF(Loan_Not_Paid*Values_Entered,Beginning_Balance,""), "")</f>
        <v/>
      </c>
      <c r="E89" s="1053">
        <f>IFERROR(IF(Loan_Not_Paid*Values_Entered,Monthly_Payment,""), "")</f>
        <v/>
      </c>
      <c r="F89" s="1053">
        <f>IFERROR(IF(Loan_Not_Paid*Values_Entered,Principal,""), "")</f>
        <v/>
      </c>
      <c r="G89" s="1053">
        <f>IFERROR(IF(Loan_Not_Paid*Values_Entered,Interest,""), "")</f>
        <v/>
      </c>
      <c r="H89" s="1053">
        <f>IFERROR(IF(Loan_Not_Paid*Values_Entered,Ending_Balance,""), "")</f>
        <v/>
      </c>
    </row>
    <row r="90">
      <c r="B90" s="299">
        <f>IFERROR(IF(Loan_Not_Paid*Values_Entered,Payment_Number,""), "")</f>
        <v/>
      </c>
      <c r="C90" s="300">
        <f>IFERROR(IF(Loan_Not_Paid*Values_Entered,Payment_Date,""), "")</f>
        <v/>
      </c>
      <c r="D90" s="1053">
        <f>IFERROR(IF(Loan_Not_Paid*Values_Entered,Beginning_Balance,""), "")</f>
        <v/>
      </c>
      <c r="E90" s="1053">
        <f>IFERROR(IF(Loan_Not_Paid*Values_Entered,Monthly_Payment,""), "")</f>
        <v/>
      </c>
      <c r="F90" s="1053">
        <f>IFERROR(IF(Loan_Not_Paid*Values_Entered,Principal,""), "")</f>
        <v/>
      </c>
      <c r="G90" s="1053">
        <f>IFERROR(IF(Loan_Not_Paid*Values_Entered,Interest,""), "")</f>
        <v/>
      </c>
      <c r="H90" s="1053">
        <f>IFERROR(IF(Loan_Not_Paid*Values_Entered,Ending_Balance,""), "")</f>
        <v/>
      </c>
    </row>
    <row r="91">
      <c r="B91" s="299">
        <f>IFERROR(IF(Loan_Not_Paid*Values_Entered,Payment_Number,""), "")</f>
        <v/>
      </c>
      <c r="C91" s="300">
        <f>IFERROR(IF(Loan_Not_Paid*Values_Entered,Payment_Date,""), "")</f>
        <v/>
      </c>
      <c r="D91" s="1053">
        <f>IFERROR(IF(Loan_Not_Paid*Values_Entered,Beginning_Balance,""), "")</f>
        <v/>
      </c>
      <c r="E91" s="1053">
        <f>IFERROR(IF(Loan_Not_Paid*Values_Entered,Monthly_Payment,""), "")</f>
        <v/>
      </c>
      <c r="F91" s="1053">
        <f>IFERROR(IF(Loan_Not_Paid*Values_Entered,Principal,""), "")</f>
        <v/>
      </c>
      <c r="G91" s="1053">
        <f>IFERROR(IF(Loan_Not_Paid*Values_Entered,Interest,""), "")</f>
        <v/>
      </c>
      <c r="H91" s="1053">
        <f>IFERROR(IF(Loan_Not_Paid*Values_Entered,Ending_Balance,""), "")</f>
        <v/>
      </c>
    </row>
    <row r="92">
      <c r="B92" s="299">
        <f>IFERROR(IF(Loan_Not_Paid*Values_Entered,Payment_Number,""), "")</f>
        <v/>
      </c>
      <c r="C92" s="300">
        <f>IFERROR(IF(Loan_Not_Paid*Values_Entered,Payment_Date,""), "")</f>
        <v/>
      </c>
      <c r="D92" s="1053">
        <f>IFERROR(IF(Loan_Not_Paid*Values_Entered,Beginning_Balance,""), "")</f>
        <v/>
      </c>
      <c r="E92" s="1053">
        <f>IFERROR(IF(Loan_Not_Paid*Values_Entered,Monthly_Payment,""), "")</f>
        <v/>
      </c>
      <c r="F92" s="1053">
        <f>IFERROR(IF(Loan_Not_Paid*Values_Entered,Principal,""), "")</f>
        <v/>
      </c>
      <c r="G92" s="1053">
        <f>IFERROR(IF(Loan_Not_Paid*Values_Entered,Interest,""), "")</f>
        <v/>
      </c>
      <c r="H92" s="1053">
        <f>IFERROR(IF(Loan_Not_Paid*Values_Entered,Ending_Balance,""), "")</f>
        <v/>
      </c>
    </row>
    <row r="93">
      <c r="B93" s="299">
        <f>IFERROR(IF(Loan_Not_Paid*Values_Entered,Payment_Number,""), "")</f>
        <v/>
      </c>
      <c r="C93" s="300">
        <f>IFERROR(IF(Loan_Not_Paid*Values_Entered,Payment_Date,""), "")</f>
        <v/>
      </c>
      <c r="D93" s="1053">
        <f>IFERROR(IF(Loan_Not_Paid*Values_Entered,Beginning_Balance,""), "")</f>
        <v/>
      </c>
      <c r="E93" s="1053">
        <f>IFERROR(IF(Loan_Not_Paid*Values_Entered,Monthly_Payment,""), "")</f>
        <v/>
      </c>
      <c r="F93" s="1053">
        <f>IFERROR(IF(Loan_Not_Paid*Values_Entered,Principal,""), "")</f>
        <v/>
      </c>
      <c r="G93" s="1053">
        <f>IFERROR(IF(Loan_Not_Paid*Values_Entered,Interest,""), "")</f>
        <v/>
      </c>
      <c r="H93" s="1053">
        <f>IFERROR(IF(Loan_Not_Paid*Values_Entered,Ending_Balance,""), "")</f>
        <v/>
      </c>
    </row>
    <row r="94">
      <c r="B94" s="299">
        <f>IFERROR(IF(Loan_Not_Paid*Values_Entered,Payment_Number,""), "")</f>
        <v/>
      </c>
      <c r="C94" s="300">
        <f>IFERROR(IF(Loan_Not_Paid*Values_Entered,Payment_Date,""), "")</f>
        <v/>
      </c>
      <c r="D94" s="1053">
        <f>IFERROR(IF(Loan_Not_Paid*Values_Entered,Beginning_Balance,""), "")</f>
        <v/>
      </c>
      <c r="E94" s="1053">
        <f>IFERROR(IF(Loan_Not_Paid*Values_Entered,Monthly_Payment,""), "")</f>
        <v/>
      </c>
      <c r="F94" s="1053">
        <f>IFERROR(IF(Loan_Not_Paid*Values_Entered,Principal,""), "")</f>
        <v/>
      </c>
      <c r="G94" s="1053">
        <f>IFERROR(IF(Loan_Not_Paid*Values_Entered,Interest,""), "")</f>
        <v/>
      </c>
      <c r="H94" s="1053">
        <f>IFERROR(IF(Loan_Not_Paid*Values_Entered,Ending_Balance,""), "")</f>
        <v/>
      </c>
    </row>
    <row r="95">
      <c r="B95" s="299">
        <f>IFERROR(IF(Loan_Not_Paid*Values_Entered,Payment_Number,""), "")</f>
        <v/>
      </c>
      <c r="C95" s="300">
        <f>IFERROR(IF(Loan_Not_Paid*Values_Entered,Payment_Date,""), "")</f>
        <v/>
      </c>
      <c r="D95" s="1053">
        <f>IFERROR(IF(Loan_Not_Paid*Values_Entered,Beginning_Balance,""), "")</f>
        <v/>
      </c>
      <c r="E95" s="1053">
        <f>IFERROR(IF(Loan_Not_Paid*Values_Entered,Monthly_Payment,""), "")</f>
        <v/>
      </c>
      <c r="F95" s="1053">
        <f>IFERROR(IF(Loan_Not_Paid*Values_Entered,Principal,""), "")</f>
        <v/>
      </c>
      <c r="G95" s="1053">
        <f>IFERROR(IF(Loan_Not_Paid*Values_Entered,Interest,""), "")</f>
        <v/>
      </c>
      <c r="H95" s="1053">
        <f>IFERROR(IF(Loan_Not_Paid*Values_Entered,Ending_Balance,""), "")</f>
        <v/>
      </c>
    </row>
    <row r="96">
      <c r="B96" s="299">
        <f>IFERROR(IF(Loan_Not_Paid*Values_Entered,Payment_Number,""), "")</f>
        <v/>
      </c>
      <c r="C96" s="300">
        <f>IFERROR(IF(Loan_Not_Paid*Values_Entered,Payment_Date,""), "")</f>
        <v/>
      </c>
      <c r="D96" s="1053">
        <f>IFERROR(IF(Loan_Not_Paid*Values_Entered,Beginning_Balance,""), "")</f>
        <v/>
      </c>
      <c r="E96" s="1053">
        <f>IFERROR(IF(Loan_Not_Paid*Values_Entered,Monthly_Payment,""), "")</f>
        <v/>
      </c>
      <c r="F96" s="1053">
        <f>IFERROR(IF(Loan_Not_Paid*Values_Entered,Principal,""), "")</f>
        <v/>
      </c>
      <c r="G96" s="1053">
        <f>IFERROR(IF(Loan_Not_Paid*Values_Entered,Interest,""), "")</f>
        <v/>
      </c>
      <c r="H96" s="1053">
        <f>IFERROR(IF(Loan_Not_Paid*Values_Entered,Ending_Balance,""), "")</f>
        <v/>
      </c>
    </row>
    <row r="97">
      <c r="B97" s="299">
        <f>IFERROR(IF(Loan_Not_Paid*Values_Entered,Payment_Number,""), "")</f>
        <v/>
      </c>
      <c r="C97" s="300">
        <f>IFERROR(IF(Loan_Not_Paid*Values_Entered,Payment_Date,""), "")</f>
        <v/>
      </c>
      <c r="D97" s="1053">
        <f>IFERROR(IF(Loan_Not_Paid*Values_Entered,Beginning_Balance,""), "")</f>
        <v/>
      </c>
      <c r="E97" s="1053">
        <f>IFERROR(IF(Loan_Not_Paid*Values_Entered,Monthly_Payment,""), "")</f>
        <v/>
      </c>
      <c r="F97" s="1053">
        <f>IFERROR(IF(Loan_Not_Paid*Values_Entered,Principal,""), "")</f>
        <v/>
      </c>
      <c r="G97" s="1053">
        <f>IFERROR(IF(Loan_Not_Paid*Values_Entered,Interest,""), "")</f>
        <v/>
      </c>
      <c r="H97" s="1053">
        <f>IFERROR(IF(Loan_Not_Paid*Values_Entered,Ending_Balance,""), "")</f>
        <v/>
      </c>
    </row>
    <row r="98">
      <c r="B98" s="299">
        <f>IFERROR(IF(Loan_Not_Paid*Values_Entered,Payment_Number,""), "")</f>
        <v/>
      </c>
      <c r="C98" s="300">
        <f>IFERROR(IF(Loan_Not_Paid*Values_Entered,Payment_Date,""), "")</f>
        <v/>
      </c>
      <c r="D98" s="1053">
        <f>IFERROR(IF(Loan_Not_Paid*Values_Entered,Beginning_Balance,""), "")</f>
        <v/>
      </c>
      <c r="E98" s="1053">
        <f>IFERROR(IF(Loan_Not_Paid*Values_Entered,Monthly_Payment,""), "")</f>
        <v/>
      </c>
      <c r="F98" s="1053">
        <f>IFERROR(IF(Loan_Not_Paid*Values_Entered,Principal,""), "")</f>
        <v/>
      </c>
      <c r="G98" s="1053">
        <f>IFERROR(IF(Loan_Not_Paid*Values_Entered,Interest,""), "")</f>
        <v/>
      </c>
      <c r="H98" s="1053">
        <f>IFERROR(IF(Loan_Not_Paid*Values_Entered,Ending_Balance,""), "")</f>
        <v/>
      </c>
    </row>
    <row r="99">
      <c r="B99" s="299">
        <f>IFERROR(IF(Loan_Not_Paid*Values_Entered,Payment_Number,""), "")</f>
        <v/>
      </c>
      <c r="C99" s="300">
        <f>IFERROR(IF(Loan_Not_Paid*Values_Entered,Payment_Date,""), "")</f>
        <v/>
      </c>
      <c r="D99" s="1053">
        <f>IFERROR(IF(Loan_Not_Paid*Values_Entered,Beginning_Balance,""), "")</f>
        <v/>
      </c>
      <c r="E99" s="1053">
        <f>IFERROR(IF(Loan_Not_Paid*Values_Entered,Monthly_Payment,""), "")</f>
        <v/>
      </c>
      <c r="F99" s="1053">
        <f>IFERROR(IF(Loan_Not_Paid*Values_Entered,Principal,""), "")</f>
        <v/>
      </c>
      <c r="G99" s="1053">
        <f>IFERROR(IF(Loan_Not_Paid*Values_Entered,Interest,""), "")</f>
        <v/>
      </c>
      <c r="H99" s="1053">
        <f>IFERROR(IF(Loan_Not_Paid*Values_Entered,Ending_Balance,""), "")</f>
        <v/>
      </c>
    </row>
    <row r="100">
      <c r="B100" s="299">
        <f>IFERROR(IF(Loan_Not_Paid*Values_Entered,Payment_Number,""), "")</f>
        <v/>
      </c>
      <c r="C100" s="300">
        <f>IFERROR(IF(Loan_Not_Paid*Values_Entered,Payment_Date,""), "")</f>
        <v/>
      </c>
      <c r="D100" s="1053">
        <f>IFERROR(IF(Loan_Not_Paid*Values_Entered,Beginning_Balance,""), "")</f>
        <v/>
      </c>
      <c r="E100" s="1053">
        <f>IFERROR(IF(Loan_Not_Paid*Values_Entered,Monthly_Payment,""), "")</f>
        <v/>
      </c>
      <c r="F100" s="1053">
        <f>IFERROR(IF(Loan_Not_Paid*Values_Entered,Principal,""), "")</f>
        <v/>
      </c>
      <c r="G100" s="1053">
        <f>IFERROR(IF(Loan_Not_Paid*Values_Entered,Interest,""), "")</f>
        <v/>
      </c>
      <c r="H100" s="1053">
        <f>IFERROR(IF(Loan_Not_Paid*Values_Entered,Ending_Balance,""), "")</f>
        <v/>
      </c>
    </row>
    <row r="101">
      <c r="B101" s="299">
        <f>IFERROR(IF(Loan_Not_Paid*Values_Entered,Payment_Number,""), "")</f>
        <v/>
      </c>
      <c r="C101" s="300">
        <f>IFERROR(IF(Loan_Not_Paid*Values_Entered,Payment_Date,""), "")</f>
        <v/>
      </c>
      <c r="D101" s="1053">
        <f>IFERROR(IF(Loan_Not_Paid*Values_Entered,Beginning_Balance,""), "")</f>
        <v/>
      </c>
      <c r="E101" s="1053">
        <f>IFERROR(IF(Loan_Not_Paid*Values_Entered,Monthly_Payment,""), "")</f>
        <v/>
      </c>
      <c r="F101" s="1053">
        <f>IFERROR(IF(Loan_Not_Paid*Values_Entered,Principal,""), "")</f>
        <v/>
      </c>
      <c r="G101" s="1053">
        <f>IFERROR(IF(Loan_Not_Paid*Values_Entered,Interest,""), "")</f>
        <v/>
      </c>
      <c r="H101" s="1053">
        <f>IFERROR(IF(Loan_Not_Paid*Values_Entered,Ending_Balance,""), "")</f>
        <v/>
      </c>
    </row>
    <row r="102">
      <c r="B102" s="299">
        <f>IFERROR(IF(Loan_Not_Paid*Values_Entered,Payment_Number,""), "")</f>
        <v/>
      </c>
      <c r="C102" s="300">
        <f>IFERROR(IF(Loan_Not_Paid*Values_Entered,Payment_Date,""), "")</f>
        <v/>
      </c>
      <c r="D102" s="1053">
        <f>IFERROR(IF(Loan_Not_Paid*Values_Entered,Beginning_Balance,""), "")</f>
        <v/>
      </c>
      <c r="E102" s="1053">
        <f>IFERROR(IF(Loan_Not_Paid*Values_Entered,Monthly_Payment,""), "")</f>
        <v/>
      </c>
      <c r="F102" s="1053">
        <f>IFERROR(IF(Loan_Not_Paid*Values_Entered,Principal,""), "")</f>
        <v/>
      </c>
      <c r="G102" s="1053">
        <f>IFERROR(IF(Loan_Not_Paid*Values_Entered,Interest,""), "")</f>
        <v/>
      </c>
      <c r="H102" s="1053">
        <f>IFERROR(IF(Loan_Not_Paid*Values_Entered,Ending_Balance,""), "")</f>
        <v/>
      </c>
    </row>
    <row r="103">
      <c r="B103" s="299">
        <f>IFERROR(IF(Loan_Not_Paid*Values_Entered,Payment_Number,""), "")</f>
        <v/>
      </c>
      <c r="C103" s="300">
        <f>IFERROR(IF(Loan_Not_Paid*Values_Entered,Payment_Date,""), "")</f>
        <v/>
      </c>
      <c r="D103" s="1053">
        <f>IFERROR(IF(Loan_Not_Paid*Values_Entered,Beginning_Balance,""), "")</f>
        <v/>
      </c>
      <c r="E103" s="1053">
        <f>IFERROR(IF(Loan_Not_Paid*Values_Entered,Monthly_Payment,""), "")</f>
        <v/>
      </c>
      <c r="F103" s="1053">
        <f>IFERROR(IF(Loan_Not_Paid*Values_Entered,Principal,""), "")</f>
        <v/>
      </c>
      <c r="G103" s="1053">
        <f>IFERROR(IF(Loan_Not_Paid*Values_Entered,Interest,""), "")</f>
        <v/>
      </c>
      <c r="H103" s="1053">
        <f>IFERROR(IF(Loan_Not_Paid*Values_Entered,Ending_Balance,""), "")</f>
        <v/>
      </c>
    </row>
    <row r="104">
      <c r="B104" s="299">
        <f>IFERROR(IF(Loan_Not_Paid*Values_Entered,Payment_Number,""), "")</f>
        <v/>
      </c>
      <c r="C104" s="300">
        <f>IFERROR(IF(Loan_Not_Paid*Values_Entered,Payment_Date,""), "")</f>
        <v/>
      </c>
      <c r="D104" s="1053">
        <f>IFERROR(IF(Loan_Not_Paid*Values_Entered,Beginning_Balance,""), "")</f>
        <v/>
      </c>
      <c r="E104" s="1053">
        <f>IFERROR(IF(Loan_Not_Paid*Values_Entered,Monthly_Payment,""), "")</f>
        <v/>
      </c>
      <c r="F104" s="1053">
        <f>IFERROR(IF(Loan_Not_Paid*Values_Entered,Principal,""), "")</f>
        <v/>
      </c>
      <c r="G104" s="1053">
        <f>IFERROR(IF(Loan_Not_Paid*Values_Entered,Interest,""), "")</f>
        <v/>
      </c>
      <c r="H104" s="1053">
        <f>IFERROR(IF(Loan_Not_Paid*Values_Entered,Ending_Balance,""), "")</f>
        <v/>
      </c>
    </row>
    <row r="105">
      <c r="B105" s="299">
        <f>IFERROR(IF(Loan_Not_Paid*Values_Entered,Payment_Number,""), "")</f>
        <v/>
      </c>
      <c r="C105" s="300">
        <f>IFERROR(IF(Loan_Not_Paid*Values_Entered,Payment_Date,""), "")</f>
        <v/>
      </c>
      <c r="D105" s="1053">
        <f>IFERROR(IF(Loan_Not_Paid*Values_Entered,Beginning_Balance,""), "")</f>
        <v/>
      </c>
      <c r="E105" s="1053">
        <f>IFERROR(IF(Loan_Not_Paid*Values_Entered,Monthly_Payment,""), "")</f>
        <v/>
      </c>
      <c r="F105" s="1053">
        <f>IFERROR(IF(Loan_Not_Paid*Values_Entered,Principal,""), "")</f>
        <v/>
      </c>
      <c r="G105" s="1053">
        <f>IFERROR(IF(Loan_Not_Paid*Values_Entered,Interest,""), "")</f>
        <v/>
      </c>
      <c r="H105" s="1053">
        <f>IFERROR(IF(Loan_Not_Paid*Values_Entered,Ending_Balance,""), "")</f>
        <v/>
      </c>
    </row>
    <row r="106">
      <c r="B106" s="299">
        <f>IFERROR(IF(Loan_Not_Paid*Values_Entered,Payment_Number,""), "")</f>
        <v/>
      </c>
      <c r="C106" s="300">
        <f>IFERROR(IF(Loan_Not_Paid*Values_Entered,Payment_Date,""), "")</f>
        <v/>
      </c>
      <c r="D106" s="1053">
        <f>IFERROR(IF(Loan_Not_Paid*Values_Entered,Beginning_Balance,""), "")</f>
        <v/>
      </c>
      <c r="E106" s="1053">
        <f>IFERROR(IF(Loan_Not_Paid*Values_Entered,Monthly_Payment,""), "")</f>
        <v/>
      </c>
      <c r="F106" s="1053">
        <f>IFERROR(IF(Loan_Not_Paid*Values_Entered,Principal,""), "")</f>
        <v/>
      </c>
      <c r="G106" s="1053">
        <f>IFERROR(IF(Loan_Not_Paid*Values_Entered,Interest,""), "")</f>
        <v/>
      </c>
      <c r="H106" s="1053">
        <f>IFERROR(IF(Loan_Not_Paid*Values_Entered,Ending_Balance,""), "")</f>
        <v/>
      </c>
    </row>
    <row r="107">
      <c r="B107" s="299">
        <f>IFERROR(IF(Loan_Not_Paid*Values_Entered,Payment_Number,""), "")</f>
        <v/>
      </c>
      <c r="C107" s="300">
        <f>IFERROR(IF(Loan_Not_Paid*Values_Entered,Payment_Date,""), "")</f>
        <v/>
      </c>
      <c r="D107" s="1053">
        <f>IFERROR(IF(Loan_Not_Paid*Values_Entered,Beginning_Balance,""), "")</f>
        <v/>
      </c>
      <c r="E107" s="1053">
        <f>IFERROR(IF(Loan_Not_Paid*Values_Entered,Monthly_Payment,""), "")</f>
        <v/>
      </c>
      <c r="F107" s="1053">
        <f>IFERROR(IF(Loan_Not_Paid*Values_Entered,Principal,""), "")</f>
        <v/>
      </c>
      <c r="G107" s="1053">
        <f>IFERROR(IF(Loan_Not_Paid*Values_Entered,Interest,""), "")</f>
        <v/>
      </c>
      <c r="H107" s="1053">
        <f>IFERROR(IF(Loan_Not_Paid*Values_Entered,Ending_Balance,""), "")</f>
        <v/>
      </c>
    </row>
    <row r="108">
      <c r="B108" s="299">
        <f>IFERROR(IF(Loan_Not_Paid*Values_Entered,Payment_Number,""), "")</f>
        <v/>
      </c>
      <c r="C108" s="300">
        <f>IFERROR(IF(Loan_Not_Paid*Values_Entered,Payment_Date,""), "")</f>
        <v/>
      </c>
      <c r="D108" s="1053">
        <f>IFERROR(IF(Loan_Not_Paid*Values_Entered,Beginning_Balance,""), "")</f>
        <v/>
      </c>
      <c r="E108" s="1053">
        <f>IFERROR(IF(Loan_Not_Paid*Values_Entered,Monthly_Payment,""), "")</f>
        <v/>
      </c>
      <c r="F108" s="1053">
        <f>IFERROR(IF(Loan_Not_Paid*Values_Entered,Principal,""), "")</f>
        <v/>
      </c>
      <c r="G108" s="1053">
        <f>IFERROR(IF(Loan_Not_Paid*Values_Entered,Interest,""), "")</f>
        <v/>
      </c>
      <c r="H108" s="1053">
        <f>IFERROR(IF(Loan_Not_Paid*Values_Entered,Ending_Balance,""), "")</f>
        <v/>
      </c>
    </row>
    <row r="109">
      <c r="B109" s="299">
        <f>IFERROR(IF(Loan_Not_Paid*Values_Entered,Payment_Number,""), "")</f>
        <v/>
      </c>
      <c r="C109" s="300">
        <f>IFERROR(IF(Loan_Not_Paid*Values_Entered,Payment_Date,""), "")</f>
        <v/>
      </c>
      <c r="D109" s="1053">
        <f>IFERROR(IF(Loan_Not_Paid*Values_Entered,Beginning_Balance,""), "")</f>
        <v/>
      </c>
      <c r="E109" s="1053">
        <f>IFERROR(IF(Loan_Not_Paid*Values_Entered,Monthly_Payment,""), "")</f>
        <v/>
      </c>
      <c r="F109" s="1053">
        <f>IFERROR(IF(Loan_Not_Paid*Values_Entered,Principal,""), "")</f>
        <v/>
      </c>
      <c r="G109" s="1053">
        <f>IFERROR(IF(Loan_Not_Paid*Values_Entered,Interest,""), "")</f>
        <v/>
      </c>
      <c r="H109" s="1053">
        <f>IFERROR(IF(Loan_Not_Paid*Values_Entered,Ending_Balance,""), "")</f>
        <v/>
      </c>
    </row>
    <row r="110">
      <c r="B110" s="299">
        <f>IFERROR(IF(Loan_Not_Paid*Values_Entered,Payment_Number,""), "")</f>
        <v/>
      </c>
      <c r="C110" s="300">
        <f>IFERROR(IF(Loan_Not_Paid*Values_Entered,Payment_Date,""), "")</f>
        <v/>
      </c>
      <c r="D110" s="1053">
        <f>IFERROR(IF(Loan_Not_Paid*Values_Entered,Beginning_Balance,""), "")</f>
        <v/>
      </c>
      <c r="E110" s="1053">
        <f>IFERROR(IF(Loan_Not_Paid*Values_Entered,Monthly_Payment,""), "")</f>
        <v/>
      </c>
      <c r="F110" s="1053">
        <f>IFERROR(IF(Loan_Not_Paid*Values_Entered,Principal,""), "")</f>
        <v/>
      </c>
      <c r="G110" s="1053">
        <f>IFERROR(IF(Loan_Not_Paid*Values_Entered,Interest,""), "")</f>
        <v/>
      </c>
      <c r="H110" s="1053">
        <f>IFERROR(IF(Loan_Not_Paid*Values_Entered,Ending_Balance,""), "")</f>
        <v/>
      </c>
    </row>
    <row r="111">
      <c r="B111" s="299">
        <f>IFERROR(IF(Loan_Not_Paid*Values_Entered,Payment_Number,""), "")</f>
        <v/>
      </c>
      <c r="C111" s="300">
        <f>IFERROR(IF(Loan_Not_Paid*Values_Entered,Payment_Date,""), "")</f>
        <v/>
      </c>
      <c r="D111" s="1053">
        <f>IFERROR(IF(Loan_Not_Paid*Values_Entered,Beginning_Balance,""), "")</f>
        <v/>
      </c>
      <c r="E111" s="1053">
        <f>IFERROR(IF(Loan_Not_Paid*Values_Entered,Monthly_Payment,""), "")</f>
        <v/>
      </c>
      <c r="F111" s="1053">
        <f>IFERROR(IF(Loan_Not_Paid*Values_Entered,Principal,""), "")</f>
        <v/>
      </c>
      <c r="G111" s="1053">
        <f>IFERROR(IF(Loan_Not_Paid*Values_Entered,Interest,""), "")</f>
        <v/>
      </c>
      <c r="H111" s="1053">
        <f>IFERROR(IF(Loan_Not_Paid*Values_Entered,Ending_Balance,""), "")</f>
        <v/>
      </c>
    </row>
    <row r="112">
      <c r="B112" s="299">
        <f>IFERROR(IF(Loan_Not_Paid*Values_Entered,Payment_Number,""), "")</f>
        <v/>
      </c>
      <c r="C112" s="300">
        <f>IFERROR(IF(Loan_Not_Paid*Values_Entered,Payment_Date,""), "")</f>
        <v/>
      </c>
      <c r="D112" s="1053">
        <f>IFERROR(IF(Loan_Not_Paid*Values_Entered,Beginning_Balance,""), "")</f>
        <v/>
      </c>
      <c r="E112" s="1053">
        <f>IFERROR(IF(Loan_Not_Paid*Values_Entered,Monthly_Payment,""), "")</f>
        <v/>
      </c>
      <c r="F112" s="1053">
        <f>IFERROR(IF(Loan_Not_Paid*Values_Entered,Principal,""), "")</f>
        <v/>
      </c>
      <c r="G112" s="1053">
        <f>IFERROR(IF(Loan_Not_Paid*Values_Entered,Interest,""), "")</f>
        <v/>
      </c>
      <c r="H112" s="1053">
        <f>IFERROR(IF(Loan_Not_Paid*Values_Entered,Ending_Balance,""), "")</f>
        <v/>
      </c>
    </row>
    <row r="113">
      <c r="B113" s="299">
        <f>IFERROR(IF(Loan_Not_Paid*Values_Entered,Payment_Number,""), "")</f>
        <v/>
      </c>
      <c r="C113" s="300">
        <f>IFERROR(IF(Loan_Not_Paid*Values_Entered,Payment_Date,""), "")</f>
        <v/>
      </c>
      <c r="D113" s="1053">
        <f>IFERROR(IF(Loan_Not_Paid*Values_Entered,Beginning_Balance,""), "")</f>
        <v/>
      </c>
      <c r="E113" s="1053">
        <f>IFERROR(IF(Loan_Not_Paid*Values_Entered,Monthly_Payment,""), "")</f>
        <v/>
      </c>
      <c r="F113" s="1053">
        <f>IFERROR(IF(Loan_Not_Paid*Values_Entered,Principal,""), "")</f>
        <v/>
      </c>
      <c r="G113" s="1053">
        <f>IFERROR(IF(Loan_Not_Paid*Values_Entered,Interest,""), "")</f>
        <v/>
      </c>
      <c r="H113" s="1053">
        <f>IFERROR(IF(Loan_Not_Paid*Values_Entered,Ending_Balance,""), "")</f>
        <v/>
      </c>
    </row>
    <row r="114">
      <c r="B114" s="299">
        <f>IFERROR(IF(Loan_Not_Paid*Values_Entered,Payment_Number,""), "")</f>
        <v/>
      </c>
      <c r="C114" s="300">
        <f>IFERROR(IF(Loan_Not_Paid*Values_Entered,Payment_Date,""), "")</f>
        <v/>
      </c>
      <c r="D114" s="1053">
        <f>IFERROR(IF(Loan_Not_Paid*Values_Entered,Beginning_Balance,""), "")</f>
        <v/>
      </c>
      <c r="E114" s="1053">
        <f>IFERROR(IF(Loan_Not_Paid*Values_Entered,Monthly_Payment,""), "")</f>
        <v/>
      </c>
      <c r="F114" s="1053">
        <f>IFERROR(IF(Loan_Not_Paid*Values_Entered,Principal,""), "")</f>
        <v/>
      </c>
      <c r="G114" s="1053">
        <f>IFERROR(IF(Loan_Not_Paid*Values_Entered,Interest,""), "")</f>
        <v/>
      </c>
      <c r="H114" s="1053">
        <f>IFERROR(IF(Loan_Not_Paid*Values_Entered,Ending_Balance,""), "")</f>
        <v/>
      </c>
    </row>
    <row r="115">
      <c r="B115" s="299">
        <f>IFERROR(IF(Loan_Not_Paid*Values_Entered,Payment_Number,""), "")</f>
        <v/>
      </c>
      <c r="C115" s="300">
        <f>IFERROR(IF(Loan_Not_Paid*Values_Entered,Payment_Date,""), "")</f>
        <v/>
      </c>
      <c r="D115" s="1053">
        <f>IFERROR(IF(Loan_Not_Paid*Values_Entered,Beginning_Balance,""), "")</f>
        <v/>
      </c>
      <c r="E115" s="1053">
        <f>IFERROR(IF(Loan_Not_Paid*Values_Entered,Monthly_Payment,""), "")</f>
        <v/>
      </c>
      <c r="F115" s="1053">
        <f>IFERROR(IF(Loan_Not_Paid*Values_Entered,Principal,""), "")</f>
        <v/>
      </c>
      <c r="G115" s="1053">
        <f>IFERROR(IF(Loan_Not_Paid*Values_Entered,Interest,""), "")</f>
        <v/>
      </c>
      <c r="H115" s="1053">
        <f>IFERROR(IF(Loan_Not_Paid*Values_Entered,Ending_Balance,""), "")</f>
        <v/>
      </c>
    </row>
    <row r="116">
      <c r="B116" s="299">
        <f>IFERROR(IF(Loan_Not_Paid*Values_Entered,Payment_Number,""), "")</f>
        <v/>
      </c>
      <c r="C116" s="300">
        <f>IFERROR(IF(Loan_Not_Paid*Values_Entered,Payment_Date,""), "")</f>
        <v/>
      </c>
      <c r="D116" s="1053">
        <f>IFERROR(IF(Loan_Not_Paid*Values_Entered,Beginning_Balance,""), "")</f>
        <v/>
      </c>
      <c r="E116" s="1053">
        <f>IFERROR(IF(Loan_Not_Paid*Values_Entered,Monthly_Payment,""), "")</f>
        <v/>
      </c>
      <c r="F116" s="1053">
        <f>IFERROR(IF(Loan_Not_Paid*Values_Entered,Principal,""), "")</f>
        <v/>
      </c>
      <c r="G116" s="1053">
        <f>IFERROR(IF(Loan_Not_Paid*Values_Entered,Interest,""), "")</f>
        <v/>
      </c>
      <c r="H116" s="1053">
        <f>IFERROR(IF(Loan_Not_Paid*Values_Entered,Ending_Balance,""), "")</f>
        <v/>
      </c>
    </row>
    <row r="117" ht="14.25" customHeight="1">
      <c r="B117" s="299">
        <f>IFERROR(IF(Loan_Not_Paid*Values_Entered,Payment_Number,""), "")</f>
        <v/>
      </c>
      <c r="C117" s="300">
        <f>IFERROR(IF(Loan_Not_Paid*Values_Entered,Payment_Date,""), "")</f>
        <v/>
      </c>
      <c r="D117" s="1053">
        <f>IFERROR(IF(Loan_Not_Paid*Values_Entered,Beginning_Balance,""), "")</f>
        <v/>
      </c>
      <c r="E117" s="1053">
        <f>IFERROR(IF(Loan_Not_Paid*Values_Entered,Monthly_Payment,""), "")</f>
        <v/>
      </c>
      <c r="F117" s="1053">
        <f>IFERROR(IF(Loan_Not_Paid*Values_Entered,Principal,""), "")</f>
        <v/>
      </c>
      <c r="G117" s="1053">
        <f>IFERROR(IF(Loan_Not_Paid*Values_Entered,Interest,""), "")</f>
        <v/>
      </c>
      <c r="H117" s="1053">
        <f>IFERROR(IF(Loan_Not_Paid*Values_Entered,Ending_Balance,""), "")</f>
        <v/>
      </c>
    </row>
    <row r="118">
      <c r="B118" s="299">
        <f>IFERROR(IF(Loan_Not_Paid*Values_Entered,Payment_Number,""), "")</f>
        <v/>
      </c>
      <c r="C118" s="300">
        <f>IFERROR(IF(Loan_Not_Paid*Values_Entered,Payment_Date,""), "")</f>
        <v/>
      </c>
      <c r="D118" s="1053">
        <f>IFERROR(IF(Loan_Not_Paid*Values_Entered,Beginning_Balance,""), "")</f>
        <v/>
      </c>
      <c r="E118" s="1053">
        <f>IFERROR(IF(Loan_Not_Paid*Values_Entered,Monthly_Payment,""), "")</f>
        <v/>
      </c>
      <c r="F118" s="1053">
        <f>IFERROR(IF(Loan_Not_Paid*Values_Entered,Principal,""), "")</f>
        <v/>
      </c>
      <c r="G118" s="1053">
        <f>IFERROR(IF(Loan_Not_Paid*Values_Entered,Interest,""), "")</f>
        <v/>
      </c>
      <c r="H118" s="1053">
        <f>IFERROR(IF(Loan_Not_Paid*Values_Entered,Ending_Balance,""), "")</f>
        <v/>
      </c>
    </row>
    <row r="119">
      <c r="B119" s="299">
        <f>IFERROR(IF(Loan_Not_Paid*Values_Entered,Payment_Number,""), "")</f>
        <v/>
      </c>
      <c r="C119" s="300">
        <f>IFERROR(IF(Loan_Not_Paid*Values_Entered,Payment_Date,""), "")</f>
        <v/>
      </c>
      <c r="D119" s="1053">
        <f>IFERROR(IF(Loan_Not_Paid*Values_Entered,Beginning_Balance,""), "")</f>
        <v/>
      </c>
      <c r="E119" s="1053">
        <f>IFERROR(IF(Loan_Not_Paid*Values_Entered,Monthly_Payment,""), "")</f>
        <v/>
      </c>
      <c r="F119" s="1053">
        <f>IFERROR(IF(Loan_Not_Paid*Values_Entered,Principal,""), "")</f>
        <v/>
      </c>
      <c r="G119" s="1053">
        <f>IFERROR(IF(Loan_Not_Paid*Values_Entered,Interest,""), "")</f>
        <v/>
      </c>
      <c r="H119" s="1053">
        <f>IFERROR(IF(Loan_Not_Paid*Values_Entered,Ending_Balance,""), "")</f>
        <v/>
      </c>
    </row>
    <row r="120">
      <c r="B120" s="299">
        <f>IFERROR(IF(Loan_Not_Paid*Values_Entered,Payment_Number,""), "")</f>
        <v/>
      </c>
      <c r="C120" s="300">
        <f>IFERROR(IF(Loan_Not_Paid*Values_Entered,Payment_Date,""), "")</f>
        <v/>
      </c>
      <c r="D120" s="1053">
        <f>IFERROR(IF(Loan_Not_Paid*Values_Entered,Beginning_Balance,""), "")</f>
        <v/>
      </c>
      <c r="E120" s="1053">
        <f>IFERROR(IF(Loan_Not_Paid*Values_Entered,Monthly_Payment,""), "")</f>
        <v/>
      </c>
      <c r="F120" s="1053">
        <f>IFERROR(IF(Loan_Not_Paid*Values_Entered,Principal,""), "")</f>
        <v/>
      </c>
      <c r="G120" s="1053">
        <f>IFERROR(IF(Loan_Not_Paid*Values_Entered,Interest,""), "")</f>
        <v/>
      </c>
      <c r="H120" s="1053">
        <f>IFERROR(IF(Loan_Not_Paid*Values_Entered,Ending_Balance,""), "")</f>
        <v/>
      </c>
    </row>
    <row r="121">
      <c r="B121" s="299">
        <f>IFERROR(IF(Loan_Not_Paid*Values_Entered,Payment_Number,""), "")</f>
        <v/>
      </c>
      <c r="C121" s="300">
        <f>IFERROR(IF(Loan_Not_Paid*Values_Entered,Payment_Date,""), "")</f>
        <v/>
      </c>
      <c r="D121" s="1053">
        <f>IFERROR(IF(Loan_Not_Paid*Values_Entered,Beginning_Balance,""), "")</f>
        <v/>
      </c>
      <c r="E121" s="1053">
        <f>IFERROR(IF(Loan_Not_Paid*Values_Entered,Monthly_Payment,""), "")</f>
        <v/>
      </c>
      <c r="F121" s="1053">
        <f>IFERROR(IF(Loan_Not_Paid*Values_Entered,Principal,""), "")</f>
        <v/>
      </c>
      <c r="G121" s="1053">
        <f>IFERROR(IF(Loan_Not_Paid*Values_Entered,Interest,""), "")</f>
        <v/>
      </c>
      <c r="H121" s="1053">
        <f>IFERROR(IF(Loan_Not_Paid*Values_Entered,Ending_Balance,""), "")</f>
        <v/>
      </c>
    </row>
    <row r="122">
      <c r="B122" s="299">
        <f>IFERROR(IF(Loan_Not_Paid*Values_Entered,Payment_Number,""), "")</f>
        <v/>
      </c>
      <c r="C122" s="300">
        <f>IFERROR(IF(Loan_Not_Paid*Values_Entered,Payment_Date,""), "")</f>
        <v/>
      </c>
      <c r="D122" s="1053">
        <f>IFERROR(IF(Loan_Not_Paid*Values_Entered,Beginning_Balance,""), "")</f>
        <v/>
      </c>
      <c r="E122" s="1053">
        <f>IFERROR(IF(Loan_Not_Paid*Values_Entered,Monthly_Payment,""), "")</f>
        <v/>
      </c>
      <c r="F122" s="1053">
        <f>IFERROR(IF(Loan_Not_Paid*Values_Entered,Principal,""), "")</f>
        <v/>
      </c>
      <c r="G122" s="1053">
        <f>IFERROR(IF(Loan_Not_Paid*Values_Entered,Interest,""), "")</f>
        <v/>
      </c>
      <c r="H122" s="1053">
        <f>IFERROR(IF(Loan_Not_Paid*Values_Entered,Ending_Balance,""), "")</f>
        <v/>
      </c>
    </row>
    <row r="123">
      <c r="B123" s="299">
        <f>IFERROR(IF(Loan_Not_Paid*Values_Entered,Payment_Number,""), "")</f>
        <v/>
      </c>
      <c r="C123" s="300">
        <f>IFERROR(IF(Loan_Not_Paid*Values_Entered,Payment_Date,""), "")</f>
        <v/>
      </c>
      <c r="D123" s="1053">
        <f>IFERROR(IF(Loan_Not_Paid*Values_Entered,Beginning_Balance,""), "")</f>
        <v/>
      </c>
      <c r="E123" s="1053">
        <f>IFERROR(IF(Loan_Not_Paid*Values_Entered,Monthly_Payment,""), "")</f>
        <v/>
      </c>
      <c r="F123" s="1053">
        <f>IFERROR(IF(Loan_Not_Paid*Values_Entered,Principal,""), "")</f>
        <v/>
      </c>
      <c r="G123" s="1053">
        <f>IFERROR(IF(Loan_Not_Paid*Values_Entered,Interest,""), "")</f>
        <v/>
      </c>
      <c r="H123" s="1053">
        <f>IFERROR(IF(Loan_Not_Paid*Values_Entered,Ending_Balance,""), "")</f>
        <v/>
      </c>
    </row>
    <row r="124">
      <c r="B124" s="299">
        <f>IFERROR(IF(Loan_Not_Paid*Values_Entered,Payment_Number,""), "")</f>
        <v/>
      </c>
      <c r="C124" s="300">
        <f>IFERROR(IF(Loan_Not_Paid*Values_Entered,Payment_Date,""), "")</f>
        <v/>
      </c>
      <c r="D124" s="1053">
        <f>IFERROR(IF(Loan_Not_Paid*Values_Entered,Beginning_Balance,""), "")</f>
        <v/>
      </c>
      <c r="E124" s="1053">
        <f>IFERROR(IF(Loan_Not_Paid*Values_Entered,Monthly_Payment,""), "")</f>
        <v/>
      </c>
      <c r="F124" s="1053">
        <f>IFERROR(IF(Loan_Not_Paid*Values_Entered,Principal,""), "")</f>
        <v/>
      </c>
      <c r="G124" s="1053">
        <f>IFERROR(IF(Loan_Not_Paid*Values_Entered,Interest,""), "")</f>
        <v/>
      </c>
      <c r="H124" s="1053">
        <f>IFERROR(IF(Loan_Not_Paid*Values_Entered,Ending_Balance,""), "")</f>
        <v/>
      </c>
    </row>
    <row r="125">
      <c r="B125" s="299">
        <f>IFERROR(IF(Loan_Not_Paid*Values_Entered,Payment_Number,""), "")</f>
        <v/>
      </c>
      <c r="C125" s="300">
        <f>IFERROR(IF(Loan_Not_Paid*Values_Entered,Payment_Date,""), "")</f>
        <v/>
      </c>
      <c r="D125" s="1053">
        <f>IFERROR(IF(Loan_Not_Paid*Values_Entered,Beginning_Balance,""), "")</f>
        <v/>
      </c>
      <c r="E125" s="1053">
        <f>IFERROR(IF(Loan_Not_Paid*Values_Entered,Monthly_Payment,""), "")</f>
        <v/>
      </c>
      <c r="F125" s="1053">
        <f>IFERROR(IF(Loan_Not_Paid*Values_Entered,Principal,""), "")</f>
        <v/>
      </c>
      <c r="G125" s="1053">
        <f>IFERROR(IF(Loan_Not_Paid*Values_Entered,Interest,""), "")</f>
        <v/>
      </c>
      <c r="H125" s="1053">
        <f>IFERROR(IF(Loan_Not_Paid*Values_Entered,Ending_Balance,""), "")</f>
        <v/>
      </c>
    </row>
    <row r="126">
      <c r="B126" s="299">
        <f>IFERROR(IF(Loan_Not_Paid*Values_Entered,Payment_Number,""), "")</f>
        <v/>
      </c>
      <c r="C126" s="300">
        <f>IFERROR(IF(Loan_Not_Paid*Values_Entered,Payment_Date,""), "")</f>
        <v/>
      </c>
      <c r="D126" s="1053">
        <f>IFERROR(IF(Loan_Not_Paid*Values_Entered,Beginning_Balance,""), "")</f>
        <v/>
      </c>
      <c r="E126" s="1053">
        <f>IFERROR(IF(Loan_Not_Paid*Values_Entered,Monthly_Payment,""), "")</f>
        <v/>
      </c>
      <c r="F126" s="1053">
        <f>IFERROR(IF(Loan_Not_Paid*Values_Entered,Principal,""), "")</f>
        <v/>
      </c>
      <c r="G126" s="1053">
        <f>IFERROR(IF(Loan_Not_Paid*Values_Entered,Interest,""), "")</f>
        <v/>
      </c>
      <c r="H126" s="1053">
        <f>IFERROR(IF(Loan_Not_Paid*Values_Entered,Ending_Balance,""), "")</f>
        <v/>
      </c>
    </row>
    <row r="127">
      <c r="B127" s="299">
        <f>IFERROR(IF(Loan_Not_Paid*Values_Entered,Payment_Number,""), "")</f>
        <v/>
      </c>
      <c r="C127" s="300">
        <f>IFERROR(IF(Loan_Not_Paid*Values_Entered,Payment_Date,""), "")</f>
        <v/>
      </c>
      <c r="D127" s="1053">
        <f>IFERROR(IF(Loan_Not_Paid*Values_Entered,Beginning_Balance,""), "")</f>
        <v/>
      </c>
      <c r="E127" s="1053">
        <f>IFERROR(IF(Loan_Not_Paid*Values_Entered,Monthly_Payment,""), "")</f>
        <v/>
      </c>
      <c r="F127" s="1053">
        <f>IFERROR(IF(Loan_Not_Paid*Values_Entered,Principal,""), "")</f>
        <v/>
      </c>
      <c r="G127" s="1053">
        <f>IFERROR(IF(Loan_Not_Paid*Values_Entered,Interest,""), "")</f>
        <v/>
      </c>
      <c r="H127" s="1053">
        <f>IFERROR(IF(Loan_Not_Paid*Values_Entered,Ending_Balance,""), "")</f>
        <v/>
      </c>
    </row>
    <row r="128">
      <c r="B128" s="299">
        <f>IFERROR(IF(Loan_Not_Paid*Values_Entered,Payment_Number,""), "")</f>
        <v/>
      </c>
      <c r="C128" s="300">
        <f>IFERROR(IF(Loan_Not_Paid*Values_Entered,Payment_Date,""), "")</f>
        <v/>
      </c>
      <c r="D128" s="1053">
        <f>IFERROR(IF(Loan_Not_Paid*Values_Entered,Beginning_Balance,""), "")</f>
        <v/>
      </c>
      <c r="E128" s="1053">
        <f>IFERROR(IF(Loan_Not_Paid*Values_Entered,Monthly_Payment,""), "")</f>
        <v/>
      </c>
      <c r="F128" s="1053">
        <f>IFERROR(IF(Loan_Not_Paid*Values_Entered,Principal,""), "")</f>
        <v/>
      </c>
      <c r="G128" s="1053">
        <f>IFERROR(IF(Loan_Not_Paid*Values_Entered,Interest,""), "")</f>
        <v/>
      </c>
      <c r="H128" s="1053">
        <f>IFERROR(IF(Loan_Not_Paid*Values_Entered,Ending_Balance,""), "")</f>
        <v/>
      </c>
    </row>
    <row r="129">
      <c r="B129" s="299">
        <f>IFERROR(IF(Loan_Not_Paid*Values_Entered,Payment_Number,""), "")</f>
        <v/>
      </c>
      <c r="C129" s="300">
        <f>IFERROR(IF(Loan_Not_Paid*Values_Entered,Payment_Date,""), "")</f>
        <v/>
      </c>
      <c r="D129" s="1053">
        <f>IFERROR(IF(Loan_Not_Paid*Values_Entered,Beginning_Balance,""), "")</f>
        <v/>
      </c>
      <c r="E129" s="1053">
        <f>IFERROR(IF(Loan_Not_Paid*Values_Entered,Monthly_Payment,""), "")</f>
        <v/>
      </c>
      <c r="F129" s="1053">
        <f>IFERROR(IF(Loan_Not_Paid*Values_Entered,Principal,""), "")</f>
        <v/>
      </c>
      <c r="G129" s="1053">
        <f>IFERROR(IF(Loan_Not_Paid*Values_Entered,Interest,""), "")</f>
        <v/>
      </c>
      <c r="H129" s="1053">
        <f>IFERROR(IF(Loan_Not_Paid*Values_Entered,Ending_Balance,""), "")</f>
        <v/>
      </c>
    </row>
    <row r="130">
      <c r="B130" s="299">
        <f>IFERROR(IF(Loan_Not_Paid*Values_Entered,Payment_Number,""), "")</f>
        <v/>
      </c>
      <c r="C130" s="300">
        <f>IFERROR(IF(Loan_Not_Paid*Values_Entered,Payment_Date,""), "")</f>
        <v/>
      </c>
      <c r="D130" s="1053">
        <f>IFERROR(IF(Loan_Not_Paid*Values_Entered,Beginning_Balance,""), "")</f>
        <v/>
      </c>
      <c r="E130" s="1053">
        <f>IFERROR(IF(Loan_Not_Paid*Values_Entered,Monthly_Payment,""), "")</f>
        <v/>
      </c>
      <c r="F130" s="1053">
        <f>IFERROR(IF(Loan_Not_Paid*Values_Entered,Principal,""), "")</f>
        <v/>
      </c>
      <c r="G130" s="1053">
        <f>IFERROR(IF(Loan_Not_Paid*Values_Entered,Interest,""), "")</f>
        <v/>
      </c>
      <c r="H130" s="1053">
        <f>IFERROR(IF(Loan_Not_Paid*Values_Entered,Ending_Balance,""), "")</f>
        <v/>
      </c>
    </row>
    <row r="131">
      <c r="B131" s="299">
        <f>IFERROR(IF(Loan_Not_Paid*Values_Entered,Payment_Number,""), "")</f>
        <v/>
      </c>
      <c r="C131" s="300">
        <f>IFERROR(IF(Loan_Not_Paid*Values_Entered,Payment_Date,""), "")</f>
        <v/>
      </c>
      <c r="D131" s="1053">
        <f>IFERROR(IF(Loan_Not_Paid*Values_Entered,Beginning_Balance,""), "")</f>
        <v/>
      </c>
      <c r="E131" s="1053">
        <f>IFERROR(IF(Loan_Not_Paid*Values_Entered,Monthly_Payment,""), "")</f>
        <v/>
      </c>
      <c r="F131" s="1053">
        <f>IFERROR(IF(Loan_Not_Paid*Values_Entered,Principal,""), "")</f>
        <v/>
      </c>
      <c r="G131" s="1053">
        <f>IFERROR(IF(Loan_Not_Paid*Values_Entered,Interest,""), "")</f>
        <v/>
      </c>
      <c r="H131" s="1053">
        <f>IFERROR(IF(Loan_Not_Paid*Values_Entered,Ending_Balance,""), "")</f>
        <v/>
      </c>
    </row>
    <row r="132">
      <c r="B132" s="299">
        <f>IFERROR(IF(Loan_Not_Paid*Values_Entered,Payment_Number,""), "")</f>
        <v/>
      </c>
      <c r="C132" s="300">
        <f>IFERROR(IF(Loan_Not_Paid*Values_Entered,Payment_Date,""), "")</f>
        <v/>
      </c>
      <c r="D132" s="1053">
        <f>IFERROR(IF(Loan_Not_Paid*Values_Entered,Beginning_Balance,""), "")</f>
        <v/>
      </c>
      <c r="E132" s="1053">
        <f>IFERROR(IF(Loan_Not_Paid*Values_Entered,Monthly_Payment,""), "")</f>
        <v/>
      </c>
      <c r="F132" s="1053">
        <f>IFERROR(IF(Loan_Not_Paid*Values_Entered,Principal,""), "")</f>
        <v/>
      </c>
      <c r="G132" s="1053">
        <f>IFERROR(IF(Loan_Not_Paid*Values_Entered,Interest,""), "")</f>
        <v/>
      </c>
      <c r="H132" s="1053">
        <f>IFERROR(IF(Loan_Not_Paid*Values_Entered,Ending_Balance,""), "")</f>
        <v/>
      </c>
    </row>
    <row r="133">
      <c r="B133" s="299">
        <f>IFERROR(IF(Loan_Not_Paid*Values_Entered,Payment_Number,""), "")</f>
        <v/>
      </c>
      <c r="C133" s="300">
        <f>IFERROR(IF(Loan_Not_Paid*Values_Entered,Payment_Date,""), "")</f>
        <v/>
      </c>
      <c r="D133" s="1053">
        <f>IFERROR(IF(Loan_Not_Paid*Values_Entered,Beginning_Balance,""), "")</f>
        <v/>
      </c>
      <c r="E133" s="1053">
        <f>IFERROR(IF(Loan_Not_Paid*Values_Entered,Monthly_Payment,""), "")</f>
        <v/>
      </c>
      <c r="F133" s="1053">
        <f>IFERROR(IF(Loan_Not_Paid*Values_Entered,Principal,""), "")</f>
        <v/>
      </c>
      <c r="G133" s="1053">
        <f>IFERROR(IF(Loan_Not_Paid*Values_Entered,Interest,""), "")</f>
        <v/>
      </c>
      <c r="H133" s="1053">
        <f>IFERROR(IF(Loan_Not_Paid*Values_Entered,Ending_Balance,""), "")</f>
        <v/>
      </c>
    </row>
    <row r="134">
      <c r="B134" s="299">
        <f>IFERROR(IF(Loan_Not_Paid*Values_Entered,Payment_Number,""), "")</f>
        <v/>
      </c>
      <c r="C134" s="300">
        <f>IFERROR(IF(Loan_Not_Paid*Values_Entered,Payment_Date,""), "")</f>
        <v/>
      </c>
      <c r="D134" s="1053">
        <f>IFERROR(IF(Loan_Not_Paid*Values_Entered,Beginning_Balance,""), "")</f>
        <v/>
      </c>
      <c r="E134" s="1053">
        <f>IFERROR(IF(Loan_Not_Paid*Values_Entered,Monthly_Payment,""), "")</f>
        <v/>
      </c>
      <c r="F134" s="1053">
        <f>IFERROR(IF(Loan_Not_Paid*Values_Entered,Principal,""), "")</f>
        <v/>
      </c>
      <c r="G134" s="1053">
        <f>IFERROR(IF(Loan_Not_Paid*Values_Entered,Interest,""), "")</f>
        <v/>
      </c>
      <c r="H134" s="1053">
        <f>IFERROR(IF(Loan_Not_Paid*Values_Entered,Ending_Balance,""), "")</f>
        <v/>
      </c>
    </row>
    <row r="135">
      <c r="B135" s="299">
        <f>IFERROR(IF(Loan_Not_Paid*Values_Entered,Payment_Number,""), "")</f>
        <v/>
      </c>
      <c r="C135" s="300">
        <f>IFERROR(IF(Loan_Not_Paid*Values_Entered,Payment_Date,""), "")</f>
        <v/>
      </c>
      <c r="D135" s="1053">
        <f>IFERROR(IF(Loan_Not_Paid*Values_Entered,Beginning_Balance,""), "")</f>
        <v/>
      </c>
      <c r="E135" s="1053">
        <f>IFERROR(IF(Loan_Not_Paid*Values_Entered,Monthly_Payment,""), "")</f>
        <v/>
      </c>
      <c r="F135" s="1053">
        <f>IFERROR(IF(Loan_Not_Paid*Values_Entered,Principal,""), "")</f>
        <v/>
      </c>
      <c r="G135" s="1053">
        <f>IFERROR(IF(Loan_Not_Paid*Values_Entered,Interest,""), "")</f>
        <v/>
      </c>
      <c r="H135" s="1053">
        <f>IFERROR(IF(Loan_Not_Paid*Values_Entered,Ending_Balance,""), "")</f>
        <v/>
      </c>
    </row>
    <row r="136">
      <c r="B136" s="299">
        <f>IFERROR(IF(Loan_Not_Paid*Values_Entered,Payment_Number,""), "")</f>
        <v/>
      </c>
      <c r="C136" s="300">
        <f>IFERROR(IF(Loan_Not_Paid*Values_Entered,Payment_Date,""), "")</f>
        <v/>
      </c>
      <c r="D136" s="1053">
        <f>IFERROR(IF(Loan_Not_Paid*Values_Entered,Beginning_Balance,""), "")</f>
        <v/>
      </c>
      <c r="E136" s="1053">
        <f>IFERROR(IF(Loan_Not_Paid*Values_Entered,Monthly_Payment,""), "")</f>
        <v/>
      </c>
      <c r="F136" s="1053">
        <f>IFERROR(IF(Loan_Not_Paid*Values_Entered,Principal,""), "")</f>
        <v/>
      </c>
      <c r="G136" s="1053">
        <f>IFERROR(IF(Loan_Not_Paid*Values_Entered,Interest,""), "")</f>
        <v/>
      </c>
      <c r="H136" s="1053">
        <f>IFERROR(IF(Loan_Not_Paid*Values_Entered,Ending_Balance,""), "")</f>
        <v/>
      </c>
    </row>
    <row r="137">
      <c r="B137" s="299">
        <f>IFERROR(IF(Loan_Not_Paid*Values_Entered,Payment_Number,""), "")</f>
        <v/>
      </c>
      <c r="C137" s="300">
        <f>IFERROR(IF(Loan_Not_Paid*Values_Entered,Payment_Date,""), "")</f>
        <v/>
      </c>
      <c r="D137" s="1053">
        <f>IFERROR(IF(Loan_Not_Paid*Values_Entered,Beginning_Balance,""), "")</f>
        <v/>
      </c>
      <c r="E137" s="1053">
        <f>IFERROR(IF(Loan_Not_Paid*Values_Entered,Monthly_Payment,""), "")</f>
        <v/>
      </c>
      <c r="F137" s="1053">
        <f>IFERROR(IF(Loan_Not_Paid*Values_Entered,Principal,""), "")</f>
        <v/>
      </c>
      <c r="G137" s="1053">
        <f>IFERROR(IF(Loan_Not_Paid*Values_Entered,Interest,""), "")</f>
        <v/>
      </c>
      <c r="H137" s="1053">
        <f>IFERROR(IF(Loan_Not_Paid*Values_Entered,Ending_Balance,""), "")</f>
        <v/>
      </c>
    </row>
    <row r="138">
      <c r="B138" s="299">
        <f>IFERROR(IF(Loan_Not_Paid*Values_Entered,Payment_Number,""), "")</f>
        <v/>
      </c>
      <c r="C138" s="300">
        <f>IFERROR(IF(Loan_Not_Paid*Values_Entered,Payment_Date,""), "")</f>
        <v/>
      </c>
      <c r="D138" s="1053">
        <f>IFERROR(IF(Loan_Not_Paid*Values_Entered,Beginning_Balance,""), "")</f>
        <v/>
      </c>
      <c r="E138" s="1053">
        <f>IFERROR(IF(Loan_Not_Paid*Values_Entered,Monthly_Payment,""), "")</f>
        <v/>
      </c>
      <c r="F138" s="1053">
        <f>IFERROR(IF(Loan_Not_Paid*Values_Entered,Principal,""), "")</f>
        <v/>
      </c>
      <c r="G138" s="1053">
        <f>IFERROR(IF(Loan_Not_Paid*Values_Entered,Interest,""), "")</f>
        <v/>
      </c>
      <c r="H138" s="1053">
        <f>IFERROR(IF(Loan_Not_Paid*Values_Entered,Ending_Balance,""), "")</f>
        <v/>
      </c>
    </row>
    <row r="139">
      <c r="B139" s="299">
        <f>IFERROR(IF(Loan_Not_Paid*Values_Entered,Payment_Number,""), "")</f>
        <v/>
      </c>
      <c r="C139" s="300">
        <f>IFERROR(IF(Loan_Not_Paid*Values_Entered,Payment_Date,""), "")</f>
        <v/>
      </c>
      <c r="D139" s="1053">
        <f>IFERROR(IF(Loan_Not_Paid*Values_Entered,Beginning_Balance,""), "")</f>
        <v/>
      </c>
      <c r="E139" s="1053">
        <f>IFERROR(IF(Loan_Not_Paid*Values_Entered,Monthly_Payment,""), "")</f>
        <v/>
      </c>
      <c r="F139" s="1053">
        <f>IFERROR(IF(Loan_Not_Paid*Values_Entered,Principal,""), "")</f>
        <v/>
      </c>
      <c r="G139" s="1053">
        <f>IFERROR(IF(Loan_Not_Paid*Values_Entered,Interest,""), "")</f>
        <v/>
      </c>
      <c r="H139" s="1053">
        <f>IFERROR(IF(Loan_Not_Paid*Values_Entered,Ending_Balance,""), "")</f>
        <v/>
      </c>
    </row>
    <row r="140">
      <c r="B140" s="299">
        <f>IFERROR(IF(Loan_Not_Paid*Values_Entered,Payment_Number,""), "")</f>
        <v/>
      </c>
      <c r="C140" s="300">
        <f>IFERROR(IF(Loan_Not_Paid*Values_Entered,Payment_Date,""), "")</f>
        <v/>
      </c>
      <c r="D140" s="1053">
        <f>IFERROR(IF(Loan_Not_Paid*Values_Entered,Beginning_Balance,""), "")</f>
        <v/>
      </c>
      <c r="E140" s="1053">
        <f>IFERROR(IF(Loan_Not_Paid*Values_Entered,Monthly_Payment,""), "")</f>
        <v/>
      </c>
      <c r="F140" s="1053">
        <f>IFERROR(IF(Loan_Not_Paid*Values_Entered,Principal,""), "")</f>
        <v/>
      </c>
      <c r="G140" s="1053">
        <f>IFERROR(IF(Loan_Not_Paid*Values_Entered,Interest,""), "")</f>
        <v/>
      </c>
      <c r="H140" s="1053">
        <f>IFERROR(IF(Loan_Not_Paid*Values_Entered,Ending_Balance,""), "")</f>
        <v/>
      </c>
    </row>
    <row r="141">
      <c r="B141" s="299">
        <f>IFERROR(IF(Loan_Not_Paid*Values_Entered,Payment_Number,""), "")</f>
        <v/>
      </c>
      <c r="C141" s="300">
        <f>IFERROR(IF(Loan_Not_Paid*Values_Entered,Payment_Date,""), "")</f>
        <v/>
      </c>
      <c r="D141" s="1053">
        <f>IFERROR(IF(Loan_Not_Paid*Values_Entered,Beginning_Balance,""), "")</f>
        <v/>
      </c>
      <c r="E141" s="1053">
        <f>IFERROR(IF(Loan_Not_Paid*Values_Entered,Monthly_Payment,""), "")</f>
        <v/>
      </c>
      <c r="F141" s="1053">
        <f>IFERROR(IF(Loan_Not_Paid*Values_Entered,Principal,""), "")</f>
        <v/>
      </c>
      <c r="G141" s="1053">
        <f>IFERROR(IF(Loan_Not_Paid*Values_Entered,Interest,""), "")</f>
        <v/>
      </c>
      <c r="H141" s="1053">
        <f>IFERROR(IF(Loan_Not_Paid*Values_Entered,Ending_Balance,""), "")</f>
        <v/>
      </c>
    </row>
    <row r="142">
      <c r="B142" s="299">
        <f>IFERROR(IF(Loan_Not_Paid*Values_Entered,Payment_Number,""), "")</f>
        <v/>
      </c>
      <c r="C142" s="300">
        <f>IFERROR(IF(Loan_Not_Paid*Values_Entered,Payment_Date,""), "")</f>
        <v/>
      </c>
      <c r="D142" s="1053">
        <f>IFERROR(IF(Loan_Not_Paid*Values_Entered,Beginning_Balance,""), "")</f>
        <v/>
      </c>
      <c r="E142" s="1053">
        <f>IFERROR(IF(Loan_Not_Paid*Values_Entered,Monthly_Payment,""), "")</f>
        <v/>
      </c>
      <c r="F142" s="1053">
        <f>IFERROR(IF(Loan_Not_Paid*Values_Entered,Principal,""), "")</f>
        <v/>
      </c>
      <c r="G142" s="1053">
        <f>IFERROR(IF(Loan_Not_Paid*Values_Entered,Interest,""), "")</f>
        <v/>
      </c>
      <c r="H142" s="1053">
        <f>IFERROR(IF(Loan_Not_Paid*Values_Entered,Ending_Balance,""), "")</f>
        <v/>
      </c>
    </row>
    <row r="143">
      <c r="B143" s="299">
        <f>IFERROR(IF(Loan_Not_Paid*Values_Entered,Payment_Number,""), "")</f>
        <v/>
      </c>
      <c r="C143" s="300">
        <f>IFERROR(IF(Loan_Not_Paid*Values_Entered,Payment_Date,""), "")</f>
        <v/>
      </c>
      <c r="D143" s="1053">
        <f>IFERROR(IF(Loan_Not_Paid*Values_Entered,Beginning_Balance,""), "")</f>
        <v/>
      </c>
      <c r="E143" s="1053">
        <f>IFERROR(IF(Loan_Not_Paid*Values_Entered,Monthly_Payment,""), "")</f>
        <v/>
      </c>
      <c r="F143" s="1053">
        <f>IFERROR(IF(Loan_Not_Paid*Values_Entered,Principal,""), "")</f>
        <v/>
      </c>
      <c r="G143" s="1053">
        <f>IFERROR(IF(Loan_Not_Paid*Values_Entered,Interest,""), "")</f>
        <v/>
      </c>
      <c r="H143" s="1053">
        <f>IFERROR(IF(Loan_Not_Paid*Values_Entered,Ending_Balance,""), "")</f>
        <v/>
      </c>
    </row>
    <row r="144">
      <c r="B144" s="299">
        <f>IFERROR(IF(Loan_Not_Paid*Values_Entered,Payment_Number,""), "")</f>
        <v/>
      </c>
      <c r="C144" s="300">
        <f>IFERROR(IF(Loan_Not_Paid*Values_Entered,Payment_Date,""), "")</f>
        <v/>
      </c>
      <c r="D144" s="1053">
        <f>IFERROR(IF(Loan_Not_Paid*Values_Entered,Beginning_Balance,""), "")</f>
        <v/>
      </c>
      <c r="E144" s="1053">
        <f>IFERROR(IF(Loan_Not_Paid*Values_Entered,Monthly_Payment,""), "")</f>
        <v/>
      </c>
      <c r="F144" s="1053">
        <f>IFERROR(IF(Loan_Not_Paid*Values_Entered,Principal,""), "")</f>
        <v/>
      </c>
      <c r="G144" s="1053">
        <f>IFERROR(IF(Loan_Not_Paid*Values_Entered,Interest,""), "")</f>
        <v/>
      </c>
      <c r="H144" s="1053">
        <f>IFERROR(IF(Loan_Not_Paid*Values_Entered,Ending_Balance,""), "")</f>
        <v/>
      </c>
    </row>
    <row r="145">
      <c r="B145" s="299">
        <f>IFERROR(IF(Loan_Not_Paid*Values_Entered,Payment_Number,""), "")</f>
        <v/>
      </c>
      <c r="C145" s="300">
        <f>IFERROR(IF(Loan_Not_Paid*Values_Entered,Payment_Date,""), "")</f>
        <v/>
      </c>
      <c r="D145" s="1053">
        <f>IFERROR(IF(Loan_Not_Paid*Values_Entered,Beginning_Balance,""), "")</f>
        <v/>
      </c>
      <c r="E145" s="1053">
        <f>IFERROR(IF(Loan_Not_Paid*Values_Entered,Monthly_Payment,""), "")</f>
        <v/>
      </c>
      <c r="F145" s="1053">
        <f>IFERROR(IF(Loan_Not_Paid*Values_Entered,Principal,""), "")</f>
        <v/>
      </c>
      <c r="G145" s="1053">
        <f>IFERROR(IF(Loan_Not_Paid*Values_Entered,Interest,""), "")</f>
        <v/>
      </c>
      <c r="H145" s="1053">
        <f>IFERROR(IF(Loan_Not_Paid*Values_Entered,Ending_Balance,""), "")</f>
        <v/>
      </c>
    </row>
    <row r="146">
      <c r="B146" s="299">
        <f>IFERROR(IF(Loan_Not_Paid*Values_Entered,Payment_Number,""), "")</f>
        <v/>
      </c>
      <c r="C146" s="300">
        <f>IFERROR(IF(Loan_Not_Paid*Values_Entered,Payment_Date,""), "")</f>
        <v/>
      </c>
      <c r="D146" s="1053">
        <f>IFERROR(IF(Loan_Not_Paid*Values_Entered,Beginning_Balance,""), "")</f>
        <v/>
      </c>
      <c r="E146" s="1053">
        <f>IFERROR(IF(Loan_Not_Paid*Values_Entered,Monthly_Payment,""), "")</f>
        <v/>
      </c>
      <c r="F146" s="1053">
        <f>IFERROR(IF(Loan_Not_Paid*Values_Entered,Principal,""), "")</f>
        <v/>
      </c>
      <c r="G146" s="1053">
        <f>IFERROR(IF(Loan_Not_Paid*Values_Entered,Interest,""), "")</f>
        <v/>
      </c>
      <c r="H146" s="1053">
        <f>IFERROR(IF(Loan_Not_Paid*Values_Entered,Ending_Balance,""), "")</f>
        <v/>
      </c>
    </row>
    <row r="147">
      <c r="B147" s="299">
        <f>IFERROR(IF(Loan_Not_Paid*Values_Entered,Payment_Number,""), "")</f>
        <v/>
      </c>
      <c r="C147" s="300">
        <f>IFERROR(IF(Loan_Not_Paid*Values_Entered,Payment_Date,""), "")</f>
        <v/>
      </c>
      <c r="D147" s="1053">
        <f>IFERROR(IF(Loan_Not_Paid*Values_Entered,Beginning_Balance,""), "")</f>
        <v/>
      </c>
      <c r="E147" s="1053">
        <f>IFERROR(IF(Loan_Not_Paid*Values_Entered,Monthly_Payment,""), "")</f>
        <v/>
      </c>
      <c r="F147" s="1053">
        <f>IFERROR(IF(Loan_Not_Paid*Values_Entered,Principal,""), "")</f>
        <v/>
      </c>
      <c r="G147" s="1053">
        <f>IFERROR(IF(Loan_Not_Paid*Values_Entered,Interest,""), "")</f>
        <v/>
      </c>
      <c r="H147" s="1053">
        <f>IFERROR(IF(Loan_Not_Paid*Values_Entered,Ending_Balance,""), "")</f>
        <v/>
      </c>
    </row>
    <row r="148">
      <c r="B148" s="299">
        <f>IFERROR(IF(Loan_Not_Paid*Values_Entered,Payment_Number,""), "")</f>
        <v/>
      </c>
      <c r="C148" s="300">
        <f>IFERROR(IF(Loan_Not_Paid*Values_Entered,Payment_Date,""), "")</f>
        <v/>
      </c>
      <c r="D148" s="1053">
        <f>IFERROR(IF(Loan_Not_Paid*Values_Entered,Beginning_Balance,""), "")</f>
        <v/>
      </c>
      <c r="E148" s="1053">
        <f>IFERROR(IF(Loan_Not_Paid*Values_Entered,Monthly_Payment,""), "")</f>
        <v/>
      </c>
      <c r="F148" s="1053">
        <f>IFERROR(IF(Loan_Not_Paid*Values_Entered,Principal,""), "")</f>
        <v/>
      </c>
      <c r="G148" s="1053">
        <f>IFERROR(IF(Loan_Not_Paid*Values_Entered,Interest,""), "")</f>
        <v/>
      </c>
      <c r="H148" s="1053">
        <f>IFERROR(IF(Loan_Not_Paid*Values_Entered,Ending_Balance,""), "")</f>
        <v/>
      </c>
    </row>
    <row r="149">
      <c r="B149" s="299">
        <f>IFERROR(IF(Loan_Not_Paid*Values_Entered,Payment_Number,""), "")</f>
        <v/>
      </c>
      <c r="C149" s="300">
        <f>IFERROR(IF(Loan_Not_Paid*Values_Entered,Payment_Date,""), "")</f>
        <v/>
      </c>
      <c r="D149" s="1053">
        <f>IFERROR(IF(Loan_Not_Paid*Values_Entered,Beginning_Balance,""), "")</f>
        <v/>
      </c>
      <c r="E149" s="1053">
        <f>IFERROR(IF(Loan_Not_Paid*Values_Entered,Monthly_Payment,""), "")</f>
        <v/>
      </c>
      <c r="F149" s="1053">
        <f>IFERROR(IF(Loan_Not_Paid*Values_Entered,Principal,""), "")</f>
        <v/>
      </c>
      <c r="G149" s="1053">
        <f>IFERROR(IF(Loan_Not_Paid*Values_Entered,Interest,""), "")</f>
        <v/>
      </c>
      <c r="H149" s="1053">
        <f>IFERROR(IF(Loan_Not_Paid*Values_Entered,Ending_Balance,""), "")</f>
        <v/>
      </c>
    </row>
    <row r="150">
      <c r="B150" s="299">
        <f>IFERROR(IF(Loan_Not_Paid*Values_Entered,Payment_Number,""), "")</f>
        <v/>
      </c>
      <c r="C150" s="300">
        <f>IFERROR(IF(Loan_Not_Paid*Values_Entered,Payment_Date,""), "")</f>
        <v/>
      </c>
      <c r="D150" s="1053">
        <f>IFERROR(IF(Loan_Not_Paid*Values_Entered,Beginning_Balance,""), "")</f>
        <v/>
      </c>
      <c r="E150" s="1053">
        <f>IFERROR(IF(Loan_Not_Paid*Values_Entered,Monthly_Payment,""), "")</f>
        <v/>
      </c>
      <c r="F150" s="1053">
        <f>IFERROR(IF(Loan_Not_Paid*Values_Entered,Principal,""), "")</f>
        <v/>
      </c>
      <c r="G150" s="1053">
        <f>IFERROR(IF(Loan_Not_Paid*Values_Entered,Interest,""), "")</f>
        <v/>
      </c>
      <c r="H150" s="1053">
        <f>IFERROR(IF(Loan_Not_Paid*Values_Entered,Ending_Balance,""), "")</f>
        <v/>
      </c>
    </row>
    <row r="151">
      <c r="B151" s="299">
        <f>IFERROR(IF(Loan_Not_Paid*Values_Entered,Payment_Number,""), "")</f>
        <v/>
      </c>
      <c r="C151" s="300">
        <f>IFERROR(IF(Loan_Not_Paid*Values_Entered,Payment_Date,""), "")</f>
        <v/>
      </c>
      <c r="D151" s="1053">
        <f>IFERROR(IF(Loan_Not_Paid*Values_Entered,Beginning_Balance,""), "")</f>
        <v/>
      </c>
      <c r="E151" s="1053">
        <f>IFERROR(IF(Loan_Not_Paid*Values_Entered,Monthly_Payment,""), "")</f>
        <v/>
      </c>
      <c r="F151" s="1053">
        <f>IFERROR(IF(Loan_Not_Paid*Values_Entered,Principal,""), "")</f>
        <v/>
      </c>
      <c r="G151" s="1053">
        <f>IFERROR(IF(Loan_Not_Paid*Values_Entered,Interest,""), "")</f>
        <v/>
      </c>
      <c r="H151" s="1053">
        <f>IFERROR(IF(Loan_Not_Paid*Values_Entered,Ending_Balance,""), "")</f>
        <v/>
      </c>
    </row>
    <row r="152">
      <c r="B152" s="299">
        <f>IFERROR(IF(Loan_Not_Paid*Values_Entered,Payment_Number,""), "")</f>
        <v/>
      </c>
      <c r="C152" s="300">
        <f>IFERROR(IF(Loan_Not_Paid*Values_Entered,Payment_Date,""), "")</f>
        <v/>
      </c>
      <c r="D152" s="1053">
        <f>IFERROR(IF(Loan_Not_Paid*Values_Entered,Beginning_Balance,""), "")</f>
        <v/>
      </c>
      <c r="E152" s="1053">
        <f>IFERROR(IF(Loan_Not_Paid*Values_Entered,Monthly_Payment,""), "")</f>
        <v/>
      </c>
      <c r="F152" s="1053">
        <f>IFERROR(IF(Loan_Not_Paid*Values_Entered,Principal,""), "")</f>
        <v/>
      </c>
      <c r="G152" s="1053">
        <f>IFERROR(IF(Loan_Not_Paid*Values_Entered,Interest,""), "")</f>
        <v/>
      </c>
      <c r="H152" s="1053">
        <f>IFERROR(IF(Loan_Not_Paid*Values_Entered,Ending_Balance,""), "")</f>
        <v/>
      </c>
    </row>
    <row r="153">
      <c r="B153" s="299">
        <f>IFERROR(IF(Loan_Not_Paid*Values_Entered,Payment_Number,""), "")</f>
        <v/>
      </c>
      <c r="C153" s="300">
        <f>IFERROR(IF(Loan_Not_Paid*Values_Entered,Payment_Date,""), "")</f>
        <v/>
      </c>
      <c r="D153" s="1053">
        <f>IFERROR(IF(Loan_Not_Paid*Values_Entered,Beginning_Balance,""), "")</f>
        <v/>
      </c>
      <c r="E153" s="1053">
        <f>IFERROR(IF(Loan_Not_Paid*Values_Entered,Monthly_Payment,""), "")</f>
        <v/>
      </c>
      <c r="F153" s="1053">
        <f>IFERROR(IF(Loan_Not_Paid*Values_Entered,Principal,""), "")</f>
        <v/>
      </c>
      <c r="G153" s="1053">
        <f>IFERROR(IF(Loan_Not_Paid*Values_Entered,Interest,""), "")</f>
        <v/>
      </c>
      <c r="H153" s="1053">
        <f>IFERROR(IF(Loan_Not_Paid*Values_Entered,Ending_Balance,""), "")</f>
        <v/>
      </c>
    </row>
    <row r="154">
      <c r="B154" s="299">
        <f>IFERROR(IF(Loan_Not_Paid*Values_Entered,Payment_Number,""), "")</f>
        <v/>
      </c>
      <c r="C154" s="300">
        <f>IFERROR(IF(Loan_Not_Paid*Values_Entered,Payment_Date,""), "")</f>
        <v/>
      </c>
      <c r="D154" s="1053">
        <f>IFERROR(IF(Loan_Not_Paid*Values_Entered,Beginning_Balance,""), "")</f>
        <v/>
      </c>
      <c r="E154" s="1053">
        <f>IFERROR(IF(Loan_Not_Paid*Values_Entered,Monthly_Payment,""), "")</f>
        <v/>
      </c>
      <c r="F154" s="1053">
        <f>IFERROR(IF(Loan_Not_Paid*Values_Entered,Principal,""), "")</f>
        <v/>
      </c>
      <c r="G154" s="1053">
        <f>IFERROR(IF(Loan_Not_Paid*Values_Entered,Interest,""), "")</f>
        <v/>
      </c>
      <c r="H154" s="1053">
        <f>IFERROR(IF(Loan_Not_Paid*Values_Entered,Ending_Balance,""), "")</f>
        <v/>
      </c>
    </row>
    <row r="155">
      <c r="B155" s="299">
        <f>IFERROR(IF(Loan_Not_Paid*Values_Entered,Payment_Number,""), "")</f>
        <v/>
      </c>
      <c r="C155" s="300">
        <f>IFERROR(IF(Loan_Not_Paid*Values_Entered,Payment_Date,""), "")</f>
        <v/>
      </c>
      <c r="D155" s="1053">
        <f>IFERROR(IF(Loan_Not_Paid*Values_Entered,Beginning_Balance,""), "")</f>
        <v/>
      </c>
      <c r="E155" s="1053">
        <f>IFERROR(IF(Loan_Not_Paid*Values_Entered,Monthly_Payment,""), "")</f>
        <v/>
      </c>
      <c r="F155" s="1053">
        <f>IFERROR(IF(Loan_Not_Paid*Values_Entered,Principal,""), "")</f>
        <v/>
      </c>
      <c r="G155" s="1053">
        <f>IFERROR(IF(Loan_Not_Paid*Values_Entered,Interest,""), "")</f>
        <v/>
      </c>
      <c r="H155" s="1053">
        <f>IFERROR(IF(Loan_Not_Paid*Values_Entered,Ending_Balance,""), "")</f>
        <v/>
      </c>
    </row>
    <row r="156">
      <c r="B156" s="299">
        <f>IFERROR(IF(Loan_Not_Paid*Values_Entered,Payment_Number,""), "")</f>
        <v/>
      </c>
      <c r="C156" s="300">
        <f>IFERROR(IF(Loan_Not_Paid*Values_Entered,Payment_Date,""), "")</f>
        <v/>
      </c>
      <c r="D156" s="1053">
        <f>IFERROR(IF(Loan_Not_Paid*Values_Entered,Beginning_Balance,""), "")</f>
        <v/>
      </c>
      <c r="E156" s="1053">
        <f>IFERROR(IF(Loan_Not_Paid*Values_Entered,Monthly_Payment,""), "")</f>
        <v/>
      </c>
      <c r="F156" s="1053">
        <f>IFERROR(IF(Loan_Not_Paid*Values_Entered,Principal,""), "")</f>
        <v/>
      </c>
      <c r="G156" s="1053">
        <f>IFERROR(IF(Loan_Not_Paid*Values_Entered,Interest,""), "")</f>
        <v/>
      </c>
      <c r="H156" s="1053">
        <f>IFERROR(IF(Loan_Not_Paid*Values_Entered,Ending_Balance,""), "")</f>
        <v/>
      </c>
    </row>
    <row r="157">
      <c r="B157" s="299">
        <f>IFERROR(IF(Loan_Not_Paid*Values_Entered,Payment_Number,""), "")</f>
        <v/>
      </c>
      <c r="C157" s="300">
        <f>IFERROR(IF(Loan_Not_Paid*Values_Entered,Payment_Date,""), "")</f>
        <v/>
      </c>
      <c r="D157" s="1053">
        <f>IFERROR(IF(Loan_Not_Paid*Values_Entered,Beginning_Balance,""), "")</f>
        <v/>
      </c>
      <c r="E157" s="1053">
        <f>IFERROR(IF(Loan_Not_Paid*Values_Entered,Monthly_Payment,""), "")</f>
        <v/>
      </c>
      <c r="F157" s="1053">
        <f>IFERROR(IF(Loan_Not_Paid*Values_Entered,Principal,""), "")</f>
        <v/>
      </c>
      <c r="G157" s="1053">
        <f>IFERROR(IF(Loan_Not_Paid*Values_Entered,Interest,""), "")</f>
        <v/>
      </c>
      <c r="H157" s="1053">
        <f>IFERROR(IF(Loan_Not_Paid*Values_Entered,Ending_Balance,""), "")</f>
        <v/>
      </c>
    </row>
    <row r="158">
      <c r="B158" s="299">
        <f>IFERROR(IF(Loan_Not_Paid*Values_Entered,Payment_Number,""), "")</f>
        <v/>
      </c>
      <c r="C158" s="300">
        <f>IFERROR(IF(Loan_Not_Paid*Values_Entered,Payment_Date,""), "")</f>
        <v/>
      </c>
      <c r="D158" s="1053">
        <f>IFERROR(IF(Loan_Not_Paid*Values_Entered,Beginning_Balance,""), "")</f>
        <v/>
      </c>
      <c r="E158" s="1053">
        <f>IFERROR(IF(Loan_Not_Paid*Values_Entered,Monthly_Payment,""), "")</f>
        <v/>
      </c>
      <c r="F158" s="1053">
        <f>IFERROR(IF(Loan_Not_Paid*Values_Entered,Principal,""), "")</f>
        <v/>
      </c>
      <c r="G158" s="1053">
        <f>IFERROR(IF(Loan_Not_Paid*Values_Entered,Interest,""), "")</f>
        <v/>
      </c>
      <c r="H158" s="1053">
        <f>IFERROR(IF(Loan_Not_Paid*Values_Entered,Ending_Balance,""), "")</f>
        <v/>
      </c>
    </row>
    <row r="159">
      <c r="B159" s="299">
        <f>IFERROR(IF(Loan_Not_Paid*Values_Entered,Payment_Number,""), "")</f>
        <v/>
      </c>
      <c r="C159" s="300">
        <f>IFERROR(IF(Loan_Not_Paid*Values_Entered,Payment_Date,""), "")</f>
        <v/>
      </c>
      <c r="D159" s="1053">
        <f>IFERROR(IF(Loan_Not_Paid*Values_Entered,Beginning_Balance,""), "")</f>
        <v/>
      </c>
      <c r="E159" s="1053">
        <f>IFERROR(IF(Loan_Not_Paid*Values_Entered,Monthly_Payment,""), "")</f>
        <v/>
      </c>
      <c r="F159" s="1053">
        <f>IFERROR(IF(Loan_Not_Paid*Values_Entered,Principal,""), "")</f>
        <v/>
      </c>
      <c r="G159" s="1053">
        <f>IFERROR(IF(Loan_Not_Paid*Values_Entered,Interest,""), "")</f>
        <v/>
      </c>
      <c r="H159" s="1053">
        <f>IFERROR(IF(Loan_Not_Paid*Values_Entered,Ending_Balance,""), "")</f>
        <v/>
      </c>
    </row>
    <row r="160">
      <c r="B160" s="299">
        <f>IFERROR(IF(Loan_Not_Paid*Values_Entered,Payment_Number,""), "")</f>
        <v/>
      </c>
      <c r="C160" s="300">
        <f>IFERROR(IF(Loan_Not_Paid*Values_Entered,Payment_Date,""), "")</f>
        <v/>
      </c>
      <c r="D160" s="1053">
        <f>IFERROR(IF(Loan_Not_Paid*Values_Entered,Beginning_Balance,""), "")</f>
        <v/>
      </c>
      <c r="E160" s="1053">
        <f>IFERROR(IF(Loan_Not_Paid*Values_Entered,Monthly_Payment,""), "")</f>
        <v/>
      </c>
      <c r="F160" s="1053">
        <f>IFERROR(IF(Loan_Not_Paid*Values_Entered,Principal,""), "")</f>
        <v/>
      </c>
      <c r="G160" s="1053">
        <f>IFERROR(IF(Loan_Not_Paid*Values_Entered,Interest,""), "")</f>
        <v/>
      </c>
      <c r="H160" s="1053">
        <f>IFERROR(IF(Loan_Not_Paid*Values_Entered,Ending_Balance,""), "")</f>
        <v/>
      </c>
    </row>
    <row r="161">
      <c r="B161" s="299">
        <f>IFERROR(IF(Loan_Not_Paid*Values_Entered,Payment_Number,""), "")</f>
        <v/>
      </c>
      <c r="C161" s="300">
        <f>IFERROR(IF(Loan_Not_Paid*Values_Entered,Payment_Date,""), "")</f>
        <v/>
      </c>
      <c r="D161" s="1053">
        <f>IFERROR(IF(Loan_Not_Paid*Values_Entered,Beginning_Balance,""), "")</f>
        <v/>
      </c>
      <c r="E161" s="1053">
        <f>IFERROR(IF(Loan_Not_Paid*Values_Entered,Monthly_Payment,""), "")</f>
        <v/>
      </c>
      <c r="F161" s="1053">
        <f>IFERROR(IF(Loan_Not_Paid*Values_Entered,Principal,""), "")</f>
        <v/>
      </c>
      <c r="G161" s="1053">
        <f>IFERROR(IF(Loan_Not_Paid*Values_Entered,Interest,""), "")</f>
        <v/>
      </c>
      <c r="H161" s="1053">
        <f>IFERROR(IF(Loan_Not_Paid*Values_Entered,Ending_Balance,""), "")</f>
        <v/>
      </c>
    </row>
    <row r="162">
      <c r="B162" s="299">
        <f>IFERROR(IF(Loan_Not_Paid*Values_Entered,Payment_Number,""), "")</f>
        <v/>
      </c>
      <c r="C162" s="300">
        <f>IFERROR(IF(Loan_Not_Paid*Values_Entered,Payment_Date,""), "")</f>
        <v/>
      </c>
      <c r="D162" s="1053">
        <f>IFERROR(IF(Loan_Not_Paid*Values_Entered,Beginning_Balance,""), "")</f>
        <v/>
      </c>
      <c r="E162" s="1053">
        <f>IFERROR(IF(Loan_Not_Paid*Values_Entered,Monthly_Payment,""), "")</f>
        <v/>
      </c>
      <c r="F162" s="1053">
        <f>IFERROR(IF(Loan_Not_Paid*Values_Entered,Principal,""), "")</f>
        <v/>
      </c>
      <c r="G162" s="1053">
        <f>IFERROR(IF(Loan_Not_Paid*Values_Entered,Interest,""), "")</f>
        <v/>
      </c>
      <c r="H162" s="1053">
        <f>IFERROR(IF(Loan_Not_Paid*Values_Entered,Ending_Balance,""), "")</f>
        <v/>
      </c>
    </row>
    <row r="163">
      <c r="B163" s="299">
        <f>IFERROR(IF(Loan_Not_Paid*Values_Entered,Payment_Number,""), "")</f>
        <v/>
      </c>
      <c r="C163" s="300">
        <f>IFERROR(IF(Loan_Not_Paid*Values_Entered,Payment_Date,""), "")</f>
        <v/>
      </c>
      <c r="D163" s="1053">
        <f>IFERROR(IF(Loan_Not_Paid*Values_Entered,Beginning_Balance,""), "")</f>
        <v/>
      </c>
      <c r="E163" s="1053">
        <f>IFERROR(IF(Loan_Not_Paid*Values_Entered,Monthly_Payment,""), "")</f>
        <v/>
      </c>
      <c r="F163" s="1053">
        <f>IFERROR(IF(Loan_Not_Paid*Values_Entered,Principal,""), "")</f>
        <v/>
      </c>
      <c r="G163" s="1053">
        <f>IFERROR(IF(Loan_Not_Paid*Values_Entered,Interest,""), "")</f>
        <v/>
      </c>
      <c r="H163" s="1053">
        <f>IFERROR(IF(Loan_Not_Paid*Values_Entered,Ending_Balance,""), "")</f>
        <v/>
      </c>
    </row>
    <row r="164">
      <c r="B164" s="299">
        <f>IFERROR(IF(Loan_Not_Paid*Values_Entered,Payment_Number,""), "")</f>
        <v/>
      </c>
      <c r="C164" s="300">
        <f>IFERROR(IF(Loan_Not_Paid*Values_Entered,Payment_Date,""), "")</f>
        <v/>
      </c>
      <c r="D164" s="1053">
        <f>IFERROR(IF(Loan_Not_Paid*Values_Entered,Beginning_Balance,""), "")</f>
        <v/>
      </c>
      <c r="E164" s="1053">
        <f>IFERROR(IF(Loan_Not_Paid*Values_Entered,Monthly_Payment,""), "")</f>
        <v/>
      </c>
      <c r="F164" s="1053">
        <f>IFERROR(IF(Loan_Not_Paid*Values_Entered,Principal,""), "")</f>
        <v/>
      </c>
      <c r="G164" s="1053">
        <f>IFERROR(IF(Loan_Not_Paid*Values_Entered,Interest,""), "")</f>
        <v/>
      </c>
      <c r="H164" s="1053">
        <f>IFERROR(IF(Loan_Not_Paid*Values_Entered,Ending_Balance,""), "")</f>
        <v/>
      </c>
    </row>
    <row r="165">
      <c r="B165" s="299">
        <f>IFERROR(IF(Loan_Not_Paid*Values_Entered,Payment_Number,""), "")</f>
        <v/>
      </c>
      <c r="C165" s="300">
        <f>IFERROR(IF(Loan_Not_Paid*Values_Entered,Payment_Date,""), "")</f>
        <v/>
      </c>
      <c r="D165" s="1053">
        <f>IFERROR(IF(Loan_Not_Paid*Values_Entered,Beginning_Balance,""), "")</f>
        <v/>
      </c>
      <c r="E165" s="1053">
        <f>IFERROR(IF(Loan_Not_Paid*Values_Entered,Monthly_Payment,""), "")</f>
        <v/>
      </c>
      <c r="F165" s="1053">
        <f>IFERROR(IF(Loan_Not_Paid*Values_Entered,Principal,""), "")</f>
        <v/>
      </c>
      <c r="G165" s="1053">
        <f>IFERROR(IF(Loan_Not_Paid*Values_Entered,Interest,""), "")</f>
        <v/>
      </c>
      <c r="H165" s="1053">
        <f>IFERROR(IF(Loan_Not_Paid*Values_Entered,Ending_Balance,""), "")</f>
        <v/>
      </c>
    </row>
    <row r="166">
      <c r="B166" s="299">
        <f>IFERROR(IF(Loan_Not_Paid*Values_Entered,Payment_Number,""), "")</f>
        <v/>
      </c>
      <c r="C166" s="300">
        <f>IFERROR(IF(Loan_Not_Paid*Values_Entered,Payment_Date,""), "")</f>
        <v/>
      </c>
      <c r="D166" s="1053">
        <f>IFERROR(IF(Loan_Not_Paid*Values_Entered,Beginning_Balance,""), "")</f>
        <v/>
      </c>
      <c r="E166" s="1053">
        <f>IFERROR(IF(Loan_Not_Paid*Values_Entered,Monthly_Payment,""), "")</f>
        <v/>
      </c>
      <c r="F166" s="1053">
        <f>IFERROR(IF(Loan_Not_Paid*Values_Entered,Principal,""), "")</f>
        <v/>
      </c>
      <c r="G166" s="1053">
        <f>IFERROR(IF(Loan_Not_Paid*Values_Entered,Interest,""), "")</f>
        <v/>
      </c>
      <c r="H166" s="1053">
        <f>IFERROR(IF(Loan_Not_Paid*Values_Entered,Ending_Balance,""), "")</f>
        <v/>
      </c>
    </row>
    <row r="167">
      <c r="B167" s="299">
        <f>IFERROR(IF(Loan_Not_Paid*Values_Entered,Payment_Number,""), "")</f>
        <v/>
      </c>
      <c r="C167" s="300">
        <f>IFERROR(IF(Loan_Not_Paid*Values_Entered,Payment_Date,""), "")</f>
        <v/>
      </c>
      <c r="D167" s="1053">
        <f>IFERROR(IF(Loan_Not_Paid*Values_Entered,Beginning_Balance,""), "")</f>
        <v/>
      </c>
      <c r="E167" s="1053">
        <f>IFERROR(IF(Loan_Not_Paid*Values_Entered,Monthly_Payment,""), "")</f>
        <v/>
      </c>
      <c r="F167" s="1053">
        <f>IFERROR(IF(Loan_Not_Paid*Values_Entered,Principal,""), "")</f>
        <v/>
      </c>
      <c r="G167" s="1053">
        <f>IFERROR(IF(Loan_Not_Paid*Values_Entered,Interest,""), "")</f>
        <v/>
      </c>
      <c r="H167" s="1053">
        <f>IFERROR(IF(Loan_Not_Paid*Values_Entered,Ending_Balance,""), "")</f>
        <v/>
      </c>
    </row>
    <row r="168">
      <c r="B168" s="299">
        <f>IFERROR(IF(Loan_Not_Paid*Values_Entered,Payment_Number,""), "")</f>
        <v/>
      </c>
      <c r="C168" s="300">
        <f>IFERROR(IF(Loan_Not_Paid*Values_Entered,Payment_Date,""), "")</f>
        <v/>
      </c>
      <c r="D168" s="1053">
        <f>IFERROR(IF(Loan_Not_Paid*Values_Entered,Beginning_Balance,""), "")</f>
        <v/>
      </c>
      <c r="E168" s="1053">
        <f>IFERROR(IF(Loan_Not_Paid*Values_Entered,Monthly_Payment,""), "")</f>
        <v/>
      </c>
      <c r="F168" s="1053">
        <f>IFERROR(IF(Loan_Not_Paid*Values_Entered,Principal,""), "")</f>
        <v/>
      </c>
      <c r="G168" s="1053">
        <f>IFERROR(IF(Loan_Not_Paid*Values_Entered,Interest,""), "")</f>
        <v/>
      </c>
      <c r="H168" s="1053">
        <f>IFERROR(IF(Loan_Not_Paid*Values_Entered,Ending_Balance,""), "")</f>
        <v/>
      </c>
    </row>
    <row r="169">
      <c r="B169" s="299">
        <f>IFERROR(IF(Loan_Not_Paid*Values_Entered,Payment_Number,""), "")</f>
        <v/>
      </c>
      <c r="C169" s="300">
        <f>IFERROR(IF(Loan_Not_Paid*Values_Entered,Payment_Date,""), "")</f>
        <v/>
      </c>
      <c r="D169" s="1053">
        <f>IFERROR(IF(Loan_Not_Paid*Values_Entered,Beginning_Balance,""), "")</f>
        <v/>
      </c>
      <c r="E169" s="1053">
        <f>IFERROR(IF(Loan_Not_Paid*Values_Entered,Monthly_Payment,""), "")</f>
        <v/>
      </c>
      <c r="F169" s="1053">
        <f>IFERROR(IF(Loan_Not_Paid*Values_Entered,Principal,""), "")</f>
        <v/>
      </c>
      <c r="G169" s="1053">
        <f>IFERROR(IF(Loan_Not_Paid*Values_Entered,Interest,""), "")</f>
        <v/>
      </c>
      <c r="H169" s="1053">
        <f>IFERROR(IF(Loan_Not_Paid*Values_Entered,Ending_Balance,""), "")</f>
        <v/>
      </c>
    </row>
    <row r="170">
      <c r="B170" s="299">
        <f>IFERROR(IF(Loan_Not_Paid*Values_Entered,Payment_Number,""), "")</f>
        <v/>
      </c>
      <c r="C170" s="300">
        <f>IFERROR(IF(Loan_Not_Paid*Values_Entered,Payment_Date,""), "")</f>
        <v/>
      </c>
      <c r="D170" s="1053">
        <f>IFERROR(IF(Loan_Not_Paid*Values_Entered,Beginning_Balance,""), "")</f>
        <v/>
      </c>
      <c r="E170" s="1053">
        <f>IFERROR(IF(Loan_Not_Paid*Values_Entered,Monthly_Payment,""), "")</f>
        <v/>
      </c>
      <c r="F170" s="1053">
        <f>IFERROR(IF(Loan_Not_Paid*Values_Entered,Principal,""), "")</f>
        <v/>
      </c>
      <c r="G170" s="1053">
        <f>IFERROR(IF(Loan_Not_Paid*Values_Entered,Interest,""), "")</f>
        <v/>
      </c>
      <c r="H170" s="1053">
        <f>IFERROR(IF(Loan_Not_Paid*Values_Entered,Ending_Balance,""), "")</f>
        <v/>
      </c>
    </row>
    <row r="171">
      <c r="B171" s="299">
        <f>IFERROR(IF(Loan_Not_Paid*Values_Entered,Payment_Number,""), "")</f>
        <v/>
      </c>
      <c r="C171" s="300">
        <f>IFERROR(IF(Loan_Not_Paid*Values_Entered,Payment_Date,""), "")</f>
        <v/>
      </c>
      <c r="D171" s="1053">
        <f>IFERROR(IF(Loan_Not_Paid*Values_Entered,Beginning_Balance,""), "")</f>
        <v/>
      </c>
      <c r="E171" s="1053">
        <f>IFERROR(IF(Loan_Not_Paid*Values_Entered,Monthly_Payment,""), "")</f>
        <v/>
      </c>
      <c r="F171" s="1053">
        <f>IFERROR(IF(Loan_Not_Paid*Values_Entered,Principal,""), "")</f>
        <v/>
      </c>
      <c r="G171" s="1053">
        <f>IFERROR(IF(Loan_Not_Paid*Values_Entered,Interest,""), "")</f>
        <v/>
      </c>
      <c r="H171" s="1053">
        <f>IFERROR(IF(Loan_Not_Paid*Values_Entered,Ending_Balance,""), "")</f>
        <v/>
      </c>
    </row>
    <row r="172">
      <c r="B172" s="299">
        <f>IFERROR(IF(Loan_Not_Paid*Values_Entered,Payment_Number,""), "")</f>
        <v/>
      </c>
      <c r="C172" s="300">
        <f>IFERROR(IF(Loan_Not_Paid*Values_Entered,Payment_Date,""), "")</f>
        <v/>
      </c>
      <c r="D172" s="1053">
        <f>IFERROR(IF(Loan_Not_Paid*Values_Entered,Beginning_Balance,""), "")</f>
        <v/>
      </c>
      <c r="E172" s="1053">
        <f>IFERROR(IF(Loan_Not_Paid*Values_Entered,Monthly_Payment,""), "")</f>
        <v/>
      </c>
      <c r="F172" s="1053">
        <f>IFERROR(IF(Loan_Not_Paid*Values_Entered,Principal,""), "")</f>
        <v/>
      </c>
      <c r="G172" s="1053">
        <f>IFERROR(IF(Loan_Not_Paid*Values_Entered,Interest,""), "")</f>
        <v/>
      </c>
      <c r="H172" s="1053">
        <f>IFERROR(IF(Loan_Not_Paid*Values_Entered,Ending_Balance,""), "")</f>
        <v/>
      </c>
    </row>
    <row r="173">
      <c r="B173" s="299">
        <f>IFERROR(IF(Loan_Not_Paid*Values_Entered,Payment_Number,""), "")</f>
        <v/>
      </c>
      <c r="C173" s="300">
        <f>IFERROR(IF(Loan_Not_Paid*Values_Entered,Payment_Date,""), "")</f>
        <v/>
      </c>
      <c r="D173" s="1053">
        <f>IFERROR(IF(Loan_Not_Paid*Values_Entered,Beginning_Balance,""), "")</f>
        <v/>
      </c>
      <c r="E173" s="1053">
        <f>IFERROR(IF(Loan_Not_Paid*Values_Entered,Monthly_Payment,""), "")</f>
        <v/>
      </c>
      <c r="F173" s="1053">
        <f>IFERROR(IF(Loan_Not_Paid*Values_Entered,Principal,""), "")</f>
        <v/>
      </c>
      <c r="G173" s="1053">
        <f>IFERROR(IF(Loan_Not_Paid*Values_Entered,Interest,""), "")</f>
        <v/>
      </c>
      <c r="H173" s="1053">
        <f>IFERROR(IF(Loan_Not_Paid*Values_Entered,Ending_Balance,""), "")</f>
        <v/>
      </c>
    </row>
    <row r="174">
      <c r="B174" s="299">
        <f>IFERROR(IF(Loan_Not_Paid*Values_Entered,Payment_Number,""), "")</f>
        <v/>
      </c>
      <c r="C174" s="300">
        <f>IFERROR(IF(Loan_Not_Paid*Values_Entered,Payment_Date,""), "")</f>
        <v/>
      </c>
      <c r="D174" s="1053">
        <f>IFERROR(IF(Loan_Not_Paid*Values_Entered,Beginning_Balance,""), "")</f>
        <v/>
      </c>
      <c r="E174" s="1053">
        <f>IFERROR(IF(Loan_Not_Paid*Values_Entered,Monthly_Payment,""), "")</f>
        <v/>
      </c>
      <c r="F174" s="1053">
        <f>IFERROR(IF(Loan_Not_Paid*Values_Entered,Principal,""), "")</f>
        <v/>
      </c>
      <c r="G174" s="1053">
        <f>IFERROR(IF(Loan_Not_Paid*Values_Entered,Interest,""), "")</f>
        <v/>
      </c>
      <c r="H174" s="1053">
        <f>IFERROR(IF(Loan_Not_Paid*Values_Entered,Ending_Balance,""), "")</f>
        <v/>
      </c>
    </row>
    <row r="175">
      <c r="B175" s="299">
        <f>IFERROR(IF(Loan_Not_Paid*Values_Entered,Payment_Number,""), "")</f>
        <v/>
      </c>
      <c r="C175" s="300">
        <f>IFERROR(IF(Loan_Not_Paid*Values_Entered,Payment_Date,""), "")</f>
        <v/>
      </c>
      <c r="D175" s="1053">
        <f>IFERROR(IF(Loan_Not_Paid*Values_Entered,Beginning_Balance,""), "")</f>
        <v/>
      </c>
      <c r="E175" s="1053">
        <f>IFERROR(IF(Loan_Not_Paid*Values_Entered,Monthly_Payment,""), "")</f>
        <v/>
      </c>
      <c r="F175" s="1053">
        <f>IFERROR(IF(Loan_Not_Paid*Values_Entered,Principal,""), "")</f>
        <v/>
      </c>
      <c r="G175" s="1053">
        <f>IFERROR(IF(Loan_Not_Paid*Values_Entered,Interest,""), "")</f>
        <v/>
      </c>
      <c r="H175" s="1053">
        <f>IFERROR(IF(Loan_Not_Paid*Values_Entered,Ending_Balance,""), "")</f>
        <v/>
      </c>
    </row>
    <row r="176">
      <c r="B176" s="299">
        <f>IFERROR(IF(Loan_Not_Paid*Values_Entered,Payment_Number,""), "")</f>
        <v/>
      </c>
      <c r="C176" s="300">
        <f>IFERROR(IF(Loan_Not_Paid*Values_Entered,Payment_Date,""), "")</f>
        <v/>
      </c>
      <c r="D176" s="1053">
        <f>IFERROR(IF(Loan_Not_Paid*Values_Entered,Beginning_Balance,""), "")</f>
        <v/>
      </c>
      <c r="E176" s="1053">
        <f>IFERROR(IF(Loan_Not_Paid*Values_Entered,Monthly_Payment,""), "")</f>
        <v/>
      </c>
      <c r="F176" s="1053">
        <f>IFERROR(IF(Loan_Not_Paid*Values_Entered,Principal,""), "")</f>
        <v/>
      </c>
      <c r="G176" s="1053">
        <f>IFERROR(IF(Loan_Not_Paid*Values_Entered,Interest,""), "")</f>
        <v/>
      </c>
      <c r="H176" s="1053">
        <f>IFERROR(IF(Loan_Not_Paid*Values_Entered,Ending_Balance,""), "")</f>
        <v/>
      </c>
    </row>
    <row r="177">
      <c r="B177" s="299">
        <f>IFERROR(IF(Loan_Not_Paid*Values_Entered,Payment_Number,""), "")</f>
        <v/>
      </c>
      <c r="C177" s="300">
        <f>IFERROR(IF(Loan_Not_Paid*Values_Entered,Payment_Date,""), "")</f>
        <v/>
      </c>
      <c r="D177" s="1053">
        <f>IFERROR(IF(Loan_Not_Paid*Values_Entered,Beginning_Balance,""), "")</f>
        <v/>
      </c>
      <c r="E177" s="1053">
        <f>IFERROR(IF(Loan_Not_Paid*Values_Entered,Monthly_Payment,""), "")</f>
        <v/>
      </c>
      <c r="F177" s="1053">
        <f>IFERROR(IF(Loan_Not_Paid*Values_Entered,Principal,""), "")</f>
        <v/>
      </c>
      <c r="G177" s="1053">
        <f>IFERROR(IF(Loan_Not_Paid*Values_Entered,Interest,""), "")</f>
        <v/>
      </c>
      <c r="H177" s="1053">
        <f>IFERROR(IF(Loan_Not_Paid*Values_Entered,Ending_Balance,""), "")</f>
        <v/>
      </c>
    </row>
    <row r="178">
      <c r="B178" s="299">
        <f>IFERROR(IF(Loan_Not_Paid*Values_Entered,Payment_Number,""), "")</f>
        <v/>
      </c>
      <c r="C178" s="300">
        <f>IFERROR(IF(Loan_Not_Paid*Values_Entered,Payment_Date,""), "")</f>
        <v/>
      </c>
      <c r="D178" s="1053">
        <f>IFERROR(IF(Loan_Not_Paid*Values_Entered,Beginning_Balance,""), "")</f>
        <v/>
      </c>
      <c r="E178" s="1053">
        <f>IFERROR(IF(Loan_Not_Paid*Values_Entered,Monthly_Payment,""), "")</f>
        <v/>
      </c>
      <c r="F178" s="1053">
        <f>IFERROR(IF(Loan_Not_Paid*Values_Entered,Principal,""), "")</f>
        <v/>
      </c>
      <c r="G178" s="1053">
        <f>IFERROR(IF(Loan_Not_Paid*Values_Entered,Interest,""), "")</f>
        <v/>
      </c>
      <c r="H178" s="1053">
        <f>IFERROR(IF(Loan_Not_Paid*Values_Entered,Ending_Balance,""), "")</f>
        <v/>
      </c>
    </row>
    <row r="179">
      <c r="B179" s="299">
        <f>IFERROR(IF(Loan_Not_Paid*Values_Entered,Payment_Number,""), "")</f>
        <v/>
      </c>
      <c r="C179" s="300">
        <f>IFERROR(IF(Loan_Not_Paid*Values_Entered,Payment_Date,""), "")</f>
        <v/>
      </c>
      <c r="D179" s="1053">
        <f>IFERROR(IF(Loan_Not_Paid*Values_Entered,Beginning_Balance,""), "")</f>
        <v/>
      </c>
      <c r="E179" s="1053">
        <f>IFERROR(IF(Loan_Not_Paid*Values_Entered,Monthly_Payment,""), "")</f>
        <v/>
      </c>
      <c r="F179" s="1053">
        <f>IFERROR(IF(Loan_Not_Paid*Values_Entered,Principal,""), "")</f>
        <v/>
      </c>
      <c r="G179" s="1053">
        <f>IFERROR(IF(Loan_Not_Paid*Values_Entered,Interest,""), "")</f>
        <v/>
      </c>
      <c r="H179" s="1053">
        <f>IFERROR(IF(Loan_Not_Paid*Values_Entered,Ending_Balance,""), "")</f>
        <v/>
      </c>
    </row>
    <row r="180">
      <c r="B180" s="299">
        <f>IFERROR(IF(Loan_Not_Paid*Values_Entered,Payment_Number,""), "")</f>
        <v/>
      </c>
      <c r="C180" s="300">
        <f>IFERROR(IF(Loan_Not_Paid*Values_Entered,Payment_Date,""), "")</f>
        <v/>
      </c>
      <c r="D180" s="1053">
        <f>IFERROR(IF(Loan_Not_Paid*Values_Entered,Beginning_Balance,""), "")</f>
        <v/>
      </c>
      <c r="E180" s="1053">
        <f>IFERROR(IF(Loan_Not_Paid*Values_Entered,Monthly_Payment,""), "")</f>
        <v/>
      </c>
      <c r="F180" s="1053">
        <f>IFERROR(IF(Loan_Not_Paid*Values_Entered,Principal,""), "")</f>
        <v/>
      </c>
      <c r="G180" s="1053">
        <f>IFERROR(IF(Loan_Not_Paid*Values_Entered,Interest,""), "")</f>
        <v/>
      </c>
      <c r="H180" s="1053">
        <f>IFERROR(IF(Loan_Not_Paid*Values_Entered,Ending_Balance,""), "")</f>
        <v/>
      </c>
    </row>
    <row r="181">
      <c r="B181" s="299">
        <f>IFERROR(IF(Loan_Not_Paid*Values_Entered,Payment_Number,""), "")</f>
        <v/>
      </c>
      <c r="C181" s="300">
        <f>IFERROR(IF(Loan_Not_Paid*Values_Entered,Payment_Date,""), "")</f>
        <v/>
      </c>
      <c r="D181" s="1053">
        <f>IFERROR(IF(Loan_Not_Paid*Values_Entered,Beginning_Balance,""), "")</f>
        <v/>
      </c>
      <c r="E181" s="1053">
        <f>IFERROR(IF(Loan_Not_Paid*Values_Entered,Monthly_Payment,""), "")</f>
        <v/>
      </c>
      <c r="F181" s="1053">
        <f>IFERROR(IF(Loan_Not_Paid*Values_Entered,Principal,""), "")</f>
        <v/>
      </c>
      <c r="G181" s="1053">
        <f>IFERROR(IF(Loan_Not_Paid*Values_Entered,Interest,""), "")</f>
        <v/>
      </c>
      <c r="H181" s="1053">
        <f>IFERROR(IF(Loan_Not_Paid*Values_Entered,Ending_Balance,""), "")</f>
        <v/>
      </c>
    </row>
    <row r="182">
      <c r="B182" s="299">
        <f>IFERROR(IF(Loan_Not_Paid*Values_Entered,Payment_Number,""), "")</f>
        <v/>
      </c>
      <c r="C182" s="300">
        <f>IFERROR(IF(Loan_Not_Paid*Values_Entered,Payment_Date,""), "")</f>
        <v/>
      </c>
      <c r="D182" s="1053">
        <f>IFERROR(IF(Loan_Not_Paid*Values_Entered,Beginning_Balance,""), "")</f>
        <v/>
      </c>
      <c r="E182" s="1053">
        <f>IFERROR(IF(Loan_Not_Paid*Values_Entered,Monthly_Payment,""), "")</f>
        <v/>
      </c>
      <c r="F182" s="1053">
        <f>IFERROR(IF(Loan_Not_Paid*Values_Entered,Principal,""), "")</f>
        <v/>
      </c>
      <c r="G182" s="1053">
        <f>IFERROR(IF(Loan_Not_Paid*Values_Entered,Interest,""), "")</f>
        <v/>
      </c>
      <c r="H182" s="1053">
        <f>IFERROR(IF(Loan_Not_Paid*Values_Entered,Ending_Balance,""), "")</f>
        <v/>
      </c>
    </row>
    <row r="183">
      <c r="B183" s="299">
        <f>IFERROR(IF(Loan_Not_Paid*Values_Entered,Payment_Number,""), "")</f>
        <v/>
      </c>
      <c r="C183" s="300">
        <f>IFERROR(IF(Loan_Not_Paid*Values_Entered,Payment_Date,""), "")</f>
        <v/>
      </c>
      <c r="D183" s="1053">
        <f>IFERROR(IF(Loan_Not_Paid*Values_Entered,Beginning_Balance,""), "")</f>
        <v/>
      </c>
      <c r="E183" s="1053">
        <f>IFERROR(IF(Loan_Not_Paid*Values_Entered,Monthly_Payment,""), "")</f>
        <v/>
      </c>
      <c r="F183" s="1053">
        <f>IFERROR(IF(Loan_Not_Paid*Values_Entered,Principal,""), "")</f>
        <v/>
      </c>
      <c r="G183" s="1053">
        <f>IFERROR(IF(Loan_Not_Paid*Values_Entered,Interest,""), "")</f>
        <v/>
      </c>
      <c r="H183" s="1053">
        <f>IFERROR(IF(Loan_Not_Paid*Values_Entered,Ending_Balance,""), "")</f>
        <v/>
      </c>
    </row>
    <row r="184">
      <c r="B184" s="299">
        <f>IFERROR(IF(Loan_Not_Paid*Values_Entered,Payment_Number,""), "")</f>
        <v/>
      </c>
      <c r="C184" s="300">
        <f>IFERROR(IF(Loan_Not_Paid*Values_Entered,Payment_Date,""), "")</f>
        <v/>
      </c>
      <c r="D184" s="1053">
        <f>IFERROR(IF(Loan_Not_Paid*Values_Entered,Beginning_Balance,""), "")</f>
        <v/>
      </c>
      <c r="E184" s="1053">
        <f>IFERROR(IF(Loan_Not_Paid*Values_Entered,Monthly_Payment,""), "")</f>
        <v/>
      </c>
      <c r="F184" s="1053">
        <f>IFERROR(IF(Loan_Not_Paid*Values_Entered,Principal,""), "")</f>
        <v/>
      </c>
      <c r="G184" s="1053">
        <f>IFERROR(IF(Loan_Not_Paid*Values_Entered,Interest,""), "")</f>
        <v/>
      </c>
      <c r="H184" s="1053">
        <f>IFERROR(IF(Loan_Not_Paid*Values_Entered,Ending_Balance,""), "")</f>
        <v/>
      </c>
    </row>
    <row r="185">
      <c r="B185" s="299">
        <f>IFERROR(IF(Loan_Not_Paid*Values_Entered,Payment_Number,""), "")</f>
        <v/>
      </c>
      <c r="C185" s="300">
        <f>IFERROR(IF(Loan_Not_Paid*Values_Entered,Payment_Date,""), "")</f>
        <v/>
      </c>
      <c r="D185" s="1053">
        <f>IFERROR(IF(Loan_Not_Paid*Values_Entered,Beginning_Balance,""), "")</f>
        <v/>
      </c>
      <c r="E185" s="1053">
        <f>IFERROR(IF(Loan_Not_Paid*Values_Entered,Monthly_Payment,""), "")</f>
        <v/>
      </c>
      <c r="F185" s="1053">
        <f>IFERROR(IF(Loan_Not_Paid*Values_Entered,Principal,""), "")</f>
        <v/>
      </c>
      <c r="G185" s="1053">
        <f>IFERROR(IF(Loan_Not_Paid*Values_Entered,Interest,""), "")</f>
        <v/>
      </c>
      <c r="H185" s="1053">
        <f>IFERROR(IF(Loan_Not_Paid*Values_Entered,Ending_Balance,""), "")</f>
        <v/>
      </c>
    </row>
    <row r="186">
      <c r="B186" s="299">
        <f>IFERROR(IF(Loan_Not_Paid*Values_Entered,Payment_Number,""), "")</f>
        <v/>
      </c>
      <c r="C186" s="300">
        <f>IFERROR(IF(Loan_Not_Paid*Values_Entered,Payment_Date,""), "")</f>
        <v/>
      </c>
      <c r="D186" s="1053">
        <f>IFERROR(IF(Loan_Not_Paid*Values_Entered,Beginning_Balance,""), "")</f>
        <v/>
      </c>
      <c r="E186" s="1053">
        <f>IFERROR(IF(Loan_Not_Paid*Values_Entered,Monthly_Payment,""), "")</f>
        <v/>
      </c>
      <c r="F186" s="1053">
        <f>IFERROR(IF(Loan_Not_Paid*Values_Entered,Principal,""), "")</f>
        <v/>
      </c>
      <c r="G186" s="1053">
        <f>IFERROR(IF(Loan_Not_Paid*Values_Entered,Interest,""), "")</f>
        <v/>
      </c>
      <c r="H186" s="1053">
        <f>IFERROR(IF(Loan_Not_Paid*Values_Entered,Ending_Balance,""), "")</f>
        <v/>
      </c>
    </row>
    <row r="187">
      <c r="B187" s="299">
        <f>IFERROR(IF(Loan_Not_Paid*Values_Entered,Payment_Number,""), "")</f>
        <v/>
      </c>
      <c r="C187" s="300">
        <f>IFERROR(IF(Loan_Not_Paid*Values_Entered,Payment_Date,""), "")</f>
        <v/>
      </c>
      <c r="D187" s="1053">
        <f>IFERROR(IF(Loan_Not_Paid*Values_Entered,Beginning_Balance,""), "")</f>
        <v/>
      </c>
      <c r="E187" s="1053">
        <f>IFERROR(IF(Loan_Not_Paid*Values_Entered,Monthly_Payment,""), "")</f>
        <v/>
      </c>
      <c r="F187" s="1053">
        <f>IFERROR(IF(Loan_Not_Paid*Values_Entered,Principal,""), "")</f>
        <v/>
      </c>
      <c r="G187" s="1053">
        <f>IFERROR(IF(Loan_Not_Paid*Values_Entered,Interest,""), "")</f>
        <v/>
      </c>
      <c r="H187" s="1053">
        <f>IFERROR(IF(Loan_Not_Paid*Values_Entered,Ending_Balance,""), "")</f>
        <v/>
      </c>
    </row>
    <row r="188">
      <c r="B188" s="299">
        <f>IFERROR(IF(Loan_Not_Paid*Values_Entered,Payment_Number,""), "")</f>
        <v/>
      </c>
      <c r="C188" s="300">
        <f>IFERROR(IF(Loan_Not_Paid*Values_Entered,Payment_Date,""), "")</f>
        <v/>
      </c>
      <c r="D188" s="1053">
        <f>IFERROR(IF(Loan_Not_Paid*Values_Entered,Beginning_Balance,""), "")</f>
        <v/>
      </c>
      <c r="E188" s="1053">
        <f>IFERROR(IF(Loan_Not_Paid*Values_Entered,Monthly_Payment,""), "")</f>
        <v/>
      </c>
      <c r="F188" s="1053">
        <f>IFERROR(IF(Loan_Not_Paid*Values_Entered,Principal,""), "")</f>
        <v/>
      </c>
      <c r="G188" s="1053">
        <f>IFERROR(IF(Loan_Not_Paid*Values_Entered,Interest,""), "")</f>
        <v/>
      </c>
      <c r="H188" s="1053">
        <f>IFERROR(IF(Loan_Not_Paid*Values_Entered,Ending_Balance,""), "")</f>
        <v/>
      </c>
    </row>
    <row r="189">
      <c r="B189" s="299">
        <f>IFERROR(IF(Loan_Not_Paid*Values_Entered,Payment_Number,""), "")</f>
        <v/>
      </c>
      <c r="C189" s="300">
        <f>IFERROR(IF(Loan_Not_Paid*Values_Entered,Payment_Date,""), "")</f>
        <v/>
      </c>
      <c r="D189" s="1053">
        <f>IFERROR(IF(Loan_Not_Paid*Values_Entered,Beginning_Balance,""), "")</f>
        <v/>
      </c>
      <c r="E189" s="1053">
        <f>IFERROR(IF(Loan_Not_Paid*Values_Entered,Monthly_Payment,""), "")</f>
        <v/>
      </c>
      <c r="F189" s="1053">
        <f>IFERROR(IF(Loan_Not_Paid*Values_Entered,Principal,""), "")</f>
        <v/>
      </c>
      <c r="G189" s="1053">
        <f>IFERROR(IF(Loan_Not_Paid*Values_Entered,Interest,""), "")</f>
        <v/>
      </c>
      <c r="H189" s="1053">
        <f>IFERROR(IF(Loan_Not_Paid*Values_Entered,Ending_Balance,""), "")</f>
        <v/>
      </c>
    </row>
    <row r="190">
      <c r="B190" s="299">
        <f>IFERROR(IF(Loan_Not_Paid*Values_Entered,Payment_Number,""), "")</f>
        <v/>
      </c>
      <c r="C190" s="300">
        <f>IFERROR(IF(Loan_Not_Paid*Values_Entered,Payment_Date,""), "")</f>
        <v/>
      </c>
      <c r="D190" s="1053">
        <f>IFERROR(IF(Loan_Not_Paid*Values_Entered,Beginning_Balance,""), "")</f>
        <v/>
      </c>
      <c r="E190" s="1053">
        <f>IFERROR(IF(Loan_Not_Paid*Values_Entered,Monthly_Payment,""), "")</f>
        <v/>
      </c>
      <c r="F190" s="1053">
        <f>IFERROR(IF(Loan_Not_Paid*Values_Entered,Principal,""), "")</f>
        <v/>
      </c>
      <c r="G190" s="1053">
        <f>IFERROR(IF(Loan_Not_Paid*Values_Entered,Interest,""), "")</f>
        <v/>
      </c>
      <c r="H190" s="1053">
        <f>IFERROR(IF(Loan_Not_Paid*Values_Entered,Ending_Balance,""), "")</f>
        <v/>
      </c>
    </row>
    <row r="191">
      <c r="B191" s="299">
        <f>IFERROR(IF(Loan_Not_Paid*Values_Entered,Payment_Number,""), "")</f>
        <v/>
      </c>
      <c r="C191" s="300">
        <f>IFERROR(IF(Loan_Not_Paid*Values_Entered,Payment_Date,""), "")</f>
        <v/>
      </c>
      <c r="D191" s="1053">
        <f>IFERROR(IF(Loan_Not_Paid*Values_Entered,Beginning_Balance,""), "")</f>
        <v/>
      </c>
      <c r="E191" s="1053">
        <f>IFERROR(IF(Loan_Not_Paid*Values_Entered,Monthly_Payment,""), "")</f>
        <v/>
      </c>
      <c r="F191" s="1053">
        <f>IFERROR(IF(Loan_Not_Paid*Values_Entered,Principal,""), "")</f>
        <v/>
      </c>
      <c r="G191" s="1053">
        <f>IFERROR(IF(Loan_Not_Paid*Values_Entered,Interest,""), "")</f>
        <v/>
      </c>
      <c r="H191" s="1053">
        <f>IFERROR(IF(Loan_Not_Paid*Values_Entered,Ending_Balance,""), "")</f>
        <v/>
      </c>
    </row>
    <row r="192">
      <c r="B192" s="299">
        <f>IFERROR(IF(Loan_Not_Paid*Values_Entered,Payment_Number,""), "")</f>
        <v/>
      </c>
      <c r="C192" s="300">
        <f>IFERROR(IF(Loan_Not_Paid*Values_Entered,Payment_Date,""), "")</f>
        <v/>
      </c>
      <c r="D192" s="1053">
        <f>IFERROR(IF(Loan_Not_Paid*Values_Entered,Beginning_Balance,""), "")</f>
        <v/>
      </c>
      <c r="E192" s="1053">
        <f>IFERROR(IF(Loan_Not_Paid*Values_Entered,Monthly_Payment,""), "")</f>
        <v/>
      </c>
      <c r="F192" s="1053">
        <f>IFERROR(IF(Loan_Not_Paid*Values_Entered,Principal,""), "")</f>
        <v/>
      </c>
      <c r="G192" s="1053">
        <f>IFERROR(IF(Loan_Not_Paid*Values_Entered,Interest,""), "")</f>
        <v/>
      </c>
      <c r="H192" s="1053">
        <f>IFERROR(IF(Loan_Not_Paid*Values_Entered,Ending_Balance,""), "")</f>
        <v/>
      </c>
    </row>
    <row r="193">
      <c r="B193" s="299">
        <f>IFERROR(IF(Loan_Not_Paid*Values_Entered,Payment_Number,""), "")</f>
        <v/>
      </c>
      <c r="C193" s="300">
        <f>IFERROR(IF(Loan_Not_Paid*Values_Entered,Payment_Date,""), "")</f>
        <v/>
      </c>
      <c r="D193" s="1053">
        <f>IFERROR(IF(Loan_Not_Paid*Values_Entered,Beginning_Balance,""), "")</f>
        <v/>
      </c>
      <c r="E193" s="1053">
        <f>IFERROR(IF(Loan_Not_Paid*Values_Entered,Monthly_Payment,""), "")</f>
        <v/>
      </c>
      <c r="F193" s="1053">
        <f>IFERROR(IF(Loan_Not_Paid*Values_Entered,Principal,""), "")</f>
        <v/>
      </c>
      <c r="G193" s="1053">
        <f>IFERROR(IF(Loan_Not_Paid*Values_Entered,Interest,""), "")</f>
        <v/>
      </c>
      <c r="H193" s="1053">
        <f>IFERROR(IF(Loan_Not_Paid*Values_Entered,Ending_Balance,""), "")</f>
        <v/>
      </c>
    </row>
    <row r="194">
      <c r="B194" s="299">
        <f>IFERROR(IF(Loan_Not_Paid*Values_Entered,Payment_Number,""), "")</f>
        <v/>
      </c>
      <c r="C194" s="300">
        <f>IFERROR(IF(Loan_Not_Paid*Values_Entered,Payment_Date,""), "")</f>
        <v/>
      </c>
      <c r="D194" s="1053">
        <f>IFERROR(IF(Loan_Not_Paid*Values_Entered,Beginning_Balance,""), "")</f>
        <v/>
      </c>
      <c r="E194" s="1053">
        <f>IFERROR(IF(Loan_Not_Paid*Values_Entered,Monthly_Payment,""), "")</f>
        <v/>
      </c>
      <c r="F194" s="1053">
        <f>IFERROR(IF(Loan_Not_Paid*Values_Entered,Principal,""), "")</f>
        <v/>
      </c>
      <c r="G194" s="1053">
        <f>IFERROR(IF(Loan_Not_Paid*Values_Entered,Interest,""), "")</f>
        <v/>
      </c>
      <c r="H194" s="1053">
        <f>IFERROR(IF(Loan_Not_Paid*Values_Entered,Ending_Balance,""), "")</f>
        <v/>
      </c>
    </row>
    <row r="195">
      <c r="B195" s="299">
        <f>IFERROR(IF(Loan_Not_Paid*Values_Entered,Payment_Number,""), "")</f>
        <v/>
      </c>
      <c r="C195" s="300">
        <f>IFERROR(IF(Loan_Not_Paid*Values_Entered,Payment_Date,""), "")</f>
        <v/>
      </c>
      <c r="D195" s="1053">
        <f>IFERROR(IF(Loan_Not_Paid*Values_Entered,Beginning_Balance,""), "")</f>
        <v/>
      </c>
      <c r="E195" s="1053">
        <f>IFERROR(IF(Loan_Not_Paid*Values_Entered,Monthly_Payment,""), "")</f>
        <v/>
      </c>
      <c r="F195" s="1053">
        <f>IFERROR(IF(Loan_Not_Paid*Values_Entered,Principal,""), "")</f>
        <v/>
      </c>
      <c r="G195" s="1053">
        <f>IFERROR(IF(Loan_Not_Paid*Values_Entered,Interest,""), "")</f>
        <v/>
      </c>
      <c r="H195" s="1053">
        <f>IFERROR(IF(Loan_Not_Paid*Values_Entered,Ending_Balance,""), "")</f>
        <v/>
      </c>
    </row>
    <row r="196">
      <c r="B196" s="299">
        <f>IFERROR(IF(Loan_Not_Paid*Values_Entered,Payment_Number,""), "")</f>
        <v/>
      </c>
      <c r="C196" s="300">
        <f>IFERROR(IF(Loan_Not_Paid*Values_Entered,Payment_Date,""), "")</f>
        <v/>
      </c>
      <c r="D196" s="1053">
        <f>IFERROR(IF(Loan_Not_Paid*Values_Entered,Beginning_Balance,""), "")</f>
        <v/>
      </c>
      <c r="E196" s="1053">
        <f>IFERROR(IF(Loan_Not_Paid*Values_Entered,Monthly_Payment,""), "")</f>
        <v/>
      </c>
      <c r="F196" s="1053">
        <f>IFERROR(IF(Loan_Not_Paid*Values_Entered,Principal,""), "")</f>
        <v/>
      </c>
      <c r="G196" s="1053">
        <f>IFERROR(IF(Loan_Not_Paid*Values_Entered,Interest,""), "")</f>
        <v/>
      </c>
      <c r="H196" s="1053">
        <f>IFERROR(IF(Loan_Not_Paid*Values_Entered,Ending_Balance,""), "")</f>
        <v/>
      </c>
    </row>
    <row r="197">
      <c r="B197" s="299">
        <f>IFERROR(IF(Loan_Not_Paid*Values_Entered,Payment_Number,""), "")</f>
        <v/>
      </c>
      <c r="C197" s="300">
        <f>IFERROR(IF(Loan_Not_Paid*Values_Entered,Payment_Date,""), "")</f>
        <v/>
      </c>
      <c r="D197" s="1053">
        <f>IFERROR(IF(Loan_Not_Paid*Values_Entered,Beginning_Balance,""), "")</f>
        <v/>
      </c>
      <c r="E197" s="1053">
        <f>IFERROR(IF(Loan_Not_Paid*Values_Entered,Monthly_Payment,""), "")</f>
        <v/>
      </c>
      <c r="F197" s="1053">
        <f>IFERROR(IF(Loan_Not_Paid*Values_Entered,Principal,""), "")</f>
        <v/>
      </c>
      <c r="G197" s="1053">
        <f>IFERROR(IF(Loan_Not_Paid*Values_Entered,Interest,""), "")</f>
        <v/>
      </c>
      <c r="H197" s="1053">
        <f>IFERROR(IF(Loan_Not_Paid*Values_Entered,Ending_Balance,""), "")</f>
        <v/>
      </c>
    </row>
    <row r="198">
      <c r="B198" s="299">
        <f>IFERROR(IF(Loan_Not_Paid*Values_Entered,Payment_Number,""), "")</f>
        <v/>
      </c>
      <c r="C198" s="300">
        <f>IFERROR(IF(Loan_Not_Paid*Values_Entered,Payment_Date,""), "")</f>
        <v/>
      </c>
      <c r="D198" s="1053">
        <f>IFERROR(IF(Loan_Not_Paid*Values_Entered,Beginning_Balance,""), "")</f>
        <v/>
      </c>
      <c r="E198" s="1053">
        <f>IFERROR(IF(Loan_Not_Paid*Values_Entered,Monthly_Payment,""), "")</f>
        <v/>
      </c>
      <c r="F198" s="1053">
        <f>IFERROR(IF(Loan_Not_Paid*Values_Entered,Principal,""), "")</f>
        <v/>
      </c>
      <c r="G198" s="1053">
        <f>IFERROR(IF(Loan_Not_Paid*Values_Entered,Interest,""), "")</f>
        <v/>
      </c>
      <c r="H198" s="1053">
        <f>IFERROR(IF(Loan_Not_Paid*Values_Entered,Ending_Balance,""), "")</f>
        <v/>
      </c>
    </row>
    <row r="199">
      <c r="B199" s="299">
        <f>IFERROR(IF(Loan_Not_Paid*Values_Entered,Payment_Number,""), "")</f>
        <v/>
      </c>
      <c r="C199" s="300">
        <f>IFERROR(IF(Loan_Not_Paid*Values_Entered,Payment_Date,""), "")</f>
        <v/>
      </c>
      <c r="D199" s="1053">
        <f>IFERROR(IF(Loan_Not_Paid*Values_Entered,Beginning_Balance,""), "")</f>
        <v/>
      </c>
      <c r="E199" s="1053">
        <f>IFERROR(IF(Loan_Not_Paid*Values_Entered,Monthly_Payment,""), "")</f>
        <v/>
      </c>
      <c r="F199" s="1053">
        <f>IFERROR(IF(Loan_Not_Paid*Values_Entered,Principal,""), "")</f>
        <v/>
      </c>
      <c r="G199" s="1053">
        <f>IFERROR(IF(Loan_Not_Paid*Values_Entered,Interest,""), "")</f>
        <v/>
      </c>
      <c r="H199" s="1053">
        <f>IFERROR(IF(Loan_Not_Paid*Values_Entered,Ending_Balance,""), "")</f>
        <v/>
      </c>
    </row>
    <row r="200">
      <c r="B200" s="299">
        <f>IFERROR(IF(Loan_Not_Paid*Values_Entered,Payment_Number,""), "")</f>
        <v/>
      </c>
      <c r="C200" s="300">
        <f>IFERROR(IF(Loan_Not_Paid*Values_Entered,Payment_Date,""), "")</f>
        <v/>
      </c>
      <c r="D200" s="1053">
        <f>IFERROR(IF(Loan_Not_Paid*Values_Entered,Beginning_Balance,""), "")</f>
        <v/>
      </c>
      <c r="E200" s="1053">
        <f>IFERROR(IF(Loan_Not_Paid*Values_Entered,Monthly_Payment,""), "")</f>
        <v/>
      </c>
      <c r="F200" s="1053">
        <f>IFERROR(IF(Loan_Not_Paid*Values_Entered,Principal,""), "")</f>
        <v/>
      </c>
      <c r="G200" s="1053">
        <f>IFERROR(IF(Loan_Not_Paid*Values_Entered,Interest,""), "")</f>
        <v/>
      </c>
      <c r="H200" s="1053">
        <f>IFERROR(IF(Loan_Not_Paid*Values_Entered,Ending_Balance,""), "")</f>
        <v/>
      </c>
    </row>
    <row r="201">
      <c r="B201" s="299">
        <f>IFERROR(IF(Loan_Not_Paid*Values_Entered,Payment_Number,""), "")</f>
        <v/>
      </c>
      <c r="C201" s="300">
        <f>IFERROR(IF(Loan_Not_Paid*Values_Entered,Payment_Date,""), "")</f>
        <v/>
      </c>
      <c r="D201" s="1053">
        <f>IFERROR(IF(Loan_Not_Paid*Values_Entered,Beginning_Balance,""), "")</f>
        <v/>
      </c>
      <c r="E201" s="1053">
        <f>IFERROR(IF(Loan_Not_Paid*Values_Entered,Monthly_Payment,""), "")</f>
        <v/>
      </c>
      <c r="F201" s="1053">
        <f>IFERROR(IF(Loan_Not_Paid*Values_Entered,Principal,""), "")</f>
        <v/>
      </c>
      <c r="G201" s="1053">
        <f>IFERROR(IF(Loan_Not_Paid*Values_Entered,Interest,""), "")</f>
        <v/>
      </c>
      <c r="H201" s="1053">
        <f>IFERROR(IF(Loan_Not_Paid*Values_Entered,Ending_Balance,""), "")</f>
        <v/>
      </c>
    </row>
    <row r="202">
      <c r="B202" s="299">
        <f>IFERROR(IF(Loan_Not_Paid*Values_Entered,Payment_Number,""), "")</f>
        <v/>
      </c>
      <c r="C202" s="300">
        <f>IFERROR(IF(Loan_Not_Paid*Values_Entered,Payment_Date,""), "")</f>
        <v/>
      </c>
      <c r="D202" s="1053">
        <f>IFERROR(IF(Loan_Not_Paid*Values_Entered,Beginning_Balance,""), "")</f>
        <v/>
      </c>
      <c r="E202" s="1053">
        <f>IFERROR(IF(Loan_Not_Paid*Values_Entered,Monthly_Payment,""), "")</f>
        <v/>
      </c>
      <c r="F202" s="1053">
        <f>IFERROR(IF(Loan_Not_Paid*Values_Entered,Principal,""), "")</f>
        <v/>
      </c>
      <c r="G202" s="1053">
        <f>IFERROR(IF(Loan_Not_Paid*Values_Entered,Interest,""), "")</f>
        <v/>
      </c>
      <c r="H202" s="1053">
        <f>IFERROR(IF(Loan_Not_Paid*Values_Entered,Ending_Balance,""), "")</f>
        <v/>
      </c>
    </row>
    <row r="203">
      <c r="B203" s="299">
        <f>IFERROR(IF(Loan_Not_Paid*Values_Entered,Payment_Number,""), "")</f>
        <v/>
      </c>
      <c r="C203" s="300">
        <f>IFERROR(IF(Loan_Not_Paid*Values_Entered,Payment_Date,""), "")</f>
        <v/>
      </c>
      <c r="D203" s="1053">
        <f>IFERROR(IF(Loan_Not_Paid*Values_Entered,Beginning_Balance,""), "")</f>
        <v/>
      </c>
      <c r="E203" s="1053">
        <f>IFERROR(IF(Loan_Not_Paid*Values_Entered,Monthly_Payment,""), "")</f>
        <v/>
      </c>
      <c r="F203" s="1053">
        <f>IFERROR(IF(Loan_Not_Paid*Values_Entered,Principal,""), "")</f>
        <v/>
      </c>
      <c r="G203" s="1053">
        <f>IFERROR(IF(Loan_Not_Paid*Values_Entered,Interest,""), "")</f>
        <v/>
      </c>
      <c r="H203" s="1053">
        <f>IFERROR(IF(Loan_Not_Paid*Values_Entered,Ending_Balance,""), "")</f>
        <v/>
      </c>
    </row>
    <row r="204">
      <c r="B204" s="299">
        <f>IFERROR(IF(Loan_Not_Paid*Values_Entered,Payment_Number,""), "")</f>
        <v/>
      </c>
      <c r="C204" s="300">
        <f>IFERROR(IF(Loan_Not_Paid*Values_Entered,Payment_Date,""), "")</f>
        <v/>
      </c>
      <c r="D204" s="1053">
        <f>IFERROR(IF(Loan_Not_Paid*Values_Entered,Beginning_Balance,""), "")</f>
        <v/>
      </c>
      <c r="E204" s="1053">
        <f>IFERROR(IF(Loan_Not_Paid*Values_Entered,Monthly_Payment,""), "")</f>
        <v/>
      </c>
      <c r="F204" s="1053">
        <f>IFERROR(IF(Loan_Not_Paid*Values_Entered,Principal,""), "")</f>
        <v/>
      </c>
      <c r="G204" s="1053">
        <f>IFERROR(IF(Loan_Not_Paid*Values_Entered,Interest,""), "")</f>
        <v/>
      </c>
      <c r="H204" s="1053">
        <f>IFERROR(IF(Loan_Not_Paid*Values_Entered,Ending_Balance,""), "")</f>
        <v/>
      </c>
    </row>
    <row r="205">
      <c r="B205" s="299">
        <f>IFERROR(IF(Loan_Not_Paid*Values_Entered,Payment_Number,""), "")</f>
        <v/>
      </c>
      <c r="C205" s="300">
        <f>IFERROR(IF(Loan_Not_Paid*Values_Entered,Payment_Date,""), "")</f>
        <v/>
      </c>
      <c r="D205" s="1053">
        <f>IFERROR(IF(Loan_Not_Paid*Values_Entered,Beginning_Balance,""), "")</f>
        <v/>
      </c>
      <c r="E205" s="1053">
        <f>IFERROR(IF(Loan_Not_Paid*Values_Entered,Monthly_Payment,""), "")</f>
        <v/>
      </c>
      <c r="F205" s="1053">
        <f>IFERROR(IF(Loan_Not_Paid*Values_Entered,Principal,""), "")</f>
        <v/>
      </c>
      <c r="G205" s="1053">
        <f>IFERROR(IF(Loan_Not_Paid*Values_Entered,Interest,""), "")</f>
        <v/>
      </c>
      <c r="H205" s="1053">
        <f>IFERROR(IF(Loan_Not_Paid*Values_Entered,Ending_Balance,""), "")</f>
        <v/>
      </c>
    </row>
    <row r="206">
      <c r="B206" s="299">
        <f>IFERROR(IF(Loan_Not_Paid*Values_Entered,Payment_Number,""), "")</f>
        <v/>
      </c>
      <c r="C206" s="300">
        <f>IFERROR(IF(Loan_Not_Paid*Values_Entered,Payment_Date,""), "")</f>
        <v/>
      </c>
      <c r="D206" s="1053">
        <f>IFERROR(IF(Loan_Not_Paid*Values_Entered,Beginning_Balance,""), "")</f>
        <v/>
      </c>
      <c r="E206" s="1053">
        <f>IFERROR(IF(Loan_Not_Paid*Values_Entered,Monthly_Payment,""), "")</f>
        <v/>
      </c>
      <c r="F206" s="1053">
        <f>IFERROR(IF(Loan_Not_Paid*Values_Entered,Principal,""), "")</f>
        <v/>
      </c>
      <c r="G206" s="1053">
        <f>IFERROR(IF(Loan_Not_Paid*Values_Entered,Interest,""), "")</f>
        <v/>
      </c>
      <c r="H206" s="1053">
        <f>IFERROR(IF(Loan_Not_Paid*Values_Entered,Ending_Balance,""), "")</f>
        <v/>
      </c>
    </row>
    <row r="207">
      <c r="B207" s="299">
        <f>IFERROR(IF(Loan_Not_Paid*Values_Entered,Payment_Number,""), "")</f>
        <v/>
      </c>
      <c r="C207" s="300">
        <f>IFERROR(IF(Loan_Not_Paid*Values_Entered,Payment_Date,""), "")</f>
        <v/>
      </c>
      <c r="D207" s="1053">
        <f>IFERROR(IF(Loan_Not_Paid*Values_Entered,Beginning_Balance,""), "")</f>
        <v/>
      </c>
      <c r="E207" s="1053">
        <f>IFERROR(IF(Loan_Not_Paid*Values_Entered,Monthly_Payment,""), "")</f>
        <v/>
      </c>
      <c r="F207" s="1053">
        <f>IFERROR(IF(Loan_Not_Paid*Values_Entered,Principal,""), "")</f>
        <v/>
      </c>
      <c r="G207" s="1053">
        <f>IFERROR(IF(Loan_Not_Paid*Values_Entered,Interest,""), "")</f>
        <v/>
      </c>
      <c r="H207" s="1053">
        <f>IFERROR(IF(Loan_Not_Paid*Values_Entered,Ending_Balance,""), "")</f>
        <v/>
      </c>
    </row>
    <row r="208">
      <c r="B208" s="299">
        <f>IFERROR(IF(Loan_Not_Paid*Values_Entered,Payment_Number,""), "")</f>
        <v/>
      </c>
      <c r="C208" s="300">
        <f>IFERROR(IF(Loan_Not_Paid*Values_Entered,Payment_Date,""), "")</f>
        <v/>
      </c>
      <c r="D208" s="1053">
        <f>IFERROR(IF(Loan_Not_Paid*Values_Entered,Beginning_Balance,""), "")</f>
        <v/>
      </c>
      <c r="E208" s="1053">
        <f>IFERROR(IF(Loan_Not_Paid*Values_Entered,Monthly_Payment,""), "")</f>
        <v/>
      </c>
      <c r="F208" s="1053">
        <f>IFERROR(IF(Loan_Not_Paid*Values_Entered,Principal,""), "")</f>
        <v/>
      </c>
      <c r="G208" s="1053">
        <f>IFERROR(IF(Loan_Not_Paid*Values_Entered,Interest,""), "")</f>
        <v/>
      </c>
      <c r="H208" s="1053">
        <f>IFERROR(IF(Loan_Not_Paid*Values_Entered,Ending_Balance,""), "")</f>
        <v/>
      </c>
    </row>
    <row r="209">
      <c r="B209" s="299">
        <f>IFERROR(IF(Loan_Not_Paid*Values_Entered,Payment_Number,""), "")</f>
        <v/>
      </c>
      <c r="C209" s="300">
        <f>IFERROR(IF(Loan_Not_Paid*Values_Entered,Payment_Date,""), "")</f>
        <v/>
      </c>
      <c r="D209" s="1053">
        <f>IFERROR(IF(Loan_Not_Paid*Values_Entered,Beginning_Balance,""), "")</f>
        <v/>
      </c>
      <c r="E209" s="1053">
        <f>IFERROR(IF(Loan_Not_Paid*Values_Entered,Monthly_Payment,""), "")</f>
        <v/>
      </c>
      <c r="F209" s="1053">
        <f>IFERROR(IF(Loan_Not_Paid*Values_Entered,Principal,""), "")</f>
        <v/>
      </c>
      <c r="G209" s="1053">
        <f>IFERROR(IF(Loan_Not_Paid*Values_Entered,Interest,""), "")</f>
        <v/>
      </c>
      <c r="H209" s="1053">
        <f>IFERROR(IF(Loan_Not_Paid*Values_Entered,Ending_Balance,""), "")</f>
        <v/>
      </c>
    </row>
    <row r="210">
      <c r="B210" s="299">
        <f>IFERROR(IF(Loan_Not_Paid*Values_Entered,Payment_Number,""), "")</f>
        <v/>
      </c>
      <c r="C210" s="300">
        <f>IFERROR(IF(Loan_Not_Paid*Values_Entered,Payment_Date,""), "")</f>
        <v/>
      </c>
      <c r="D210" s="1053">
        <f>IFERROR(IF(Loan_Not_Paid*Values_Entered,Beginning_Balance,""), "")</f>
        <v/>
      </c>
      <c r="E210" s="1053">
        <f>IFERROR(IF(Loan_Not_Paid*Values_Entered,Monthly_Payment,""), "")</f>
        <v/>
      </c>
      <c r="F210" s="1053">
        <f>IFERROR(IF(Loan_Not_Paid*Values_Entered,Principal,""), "")</f>
        <v/>
      </c>
      <c r="G210" s="1053">
        <f>IFERROR(IF(Loan_Not_Paid*Values_Entered,Interest,""), "")</f>
        <v/>
      </c>
      <c r="H210" s="1053">
        <f>IFERROR(IF(Loan_Not_Paid*Values_Entered,Ending_Balance,""), "")</f>
        <v/>
      </c>
    </row>
    <row r="211">
      <c r="B211" s="299">
        <f>IFERROR(IF(Loan_Not_Paid*Values_Entered,Payment_Number,""), "")</f>
        <v/>
      </c>
      <c r="C211" s="300">
        <f>IFERROR(IF(Loan_Not_Paid*Values_Entered,Payment_Date,""), "")</f>
        <v/>
      </c>
      <c r="D211" s="1053">
        <f>IFERROR(IF(Loan_Not_Paid*Values_Entered,Beginning_Balance,""), "")</f>
        <v/>
      </c>
      <c r="E211" s="1053">
        <f>IFERROR(IF(Loan_Not_Paid*Values_Entered,Monthly_Payment,""), "")</f>
        <v/>
      </c>
      <c r="F211" s="1053">
        <f>IFERROR(IF(Loan_Not_Paid*Values_Entered,Principal,""), "")</f>
        <v/>
      </c>
      <c r="G211" s="1053">
        <f>IFERROR(IF(Loan_Not_Paid*Values_Entered,Interest,""), "")</f>
        <v/>
      </c>
      <c r="H211" s="1053">
        <f>IFERROR(IF(Loan_Not_Paid*Values_Entered,Ending_Balance,""), "")</f>
        <v/>
      </c>
    </row>
    <row r="212">
      <c r="B212" s="299">
        <f>IFERROR(IF(Loan_Not_Paid*Values_Entered,Payment_Number,""), "")</f>
        <v/>
      </c>
      <c r="C212" s="300">
        <f>IFERROR(IF(Loan_Not_Paid*Values_Entered,Payment_Date,""), "")</f>
        <v/>
      </c>
      <c r="D212" s="1053">
        <f>IFERROR(IF(Loan_Not_Paid*Values_Entered,Beginning_Balance,""), "")</f>
        <v/>
      </c>
      <c r="E212" s="1053">
        <f>IFERROR(IF(Loan_Not_Paid*Values_Entered,Monthly_Payment,""), "")</f>
        <v/>
      </c>
      <c r="F212" s="1053">
        <f>IFERROR(IF(Loan_Not_Paid*Values_Entered,Principal,""), "")</f>
        <v/>
      </c>
      <c r="G212" s="1053">
        <f>IFERROR(IF(Loan_Not_Paid*Values_Entered,Interest,""), "")</f>
        <v/>
      </c>
      <c r="H212" s="1053">
        <f>IFERROR(IF(Loan_Not_Paid*Values_Entered,Ending_Balance,""), "")</f>
        <v/>
      </c>
    </row>
    <row r="213">
      <c r="B213" s="299">
        <f>IFERROR(IF(Loan_Not_Paid*Values_Entered,Payment_Number,""), "")</f>
        <v/>
      </c>
      <c r="C213" s="300">
        <f>IFERROR(IF(Loan_Not_Paid*Values_Entered,Payment_Date,""), "")</f>
        <v/>
      </c>
      <c r="D213" s="1053">
        <f>IFERROR(IF(Loan_Not_Paid*Values_Entered,Beginning_Balance,""), "")</f>
        <v/>
      </c>
      <c r="E213" s="1053">
        <f>IFERROR(IF(Loan_Not_Paid*Values_Entered,Monthly_Payment,""), "")</f>
        <v/>
      </c>
      <c r="F213" s="1053">
        <f>IFERROR(IF(Loan_Not_Paid*Values_Entered,Principal,""), "")</f>
        <v/>
      </c>
      <c r="G213" s="1053">
        <f>IFERROR(IF(Loan_Not_Paid*Values_Entered,Interest,""), "")</f>
        <v/>
      </c>
      <c r="H213" s="1053">
        <f>IFERROR(IF(Loan_Not_Paid*Values_Entered,Ending_Balance,""), "")</f>
        <v/>
      </c>
    </row>
    <row r="214">
      <c r="B214" s="299">
        <f>IFERROR(IF(Loan_Not_Paid*Values_Entered,Payment_Number,""), "")</f>
        <v/>
      </c>
      <c r="C214" s="300">
        <f>IFERROR(IF(Loan_Not_Paid*Values_Entered,Payment_Date,""), "")</f>
        <v/>
      </c>
      <c r="D214" s="1053">
        <f>IFERROR(IF(Loan_Not_Paid*Values_Entered,Beginning_Balance,""), "")</f>
        <v/>
      </c>
      <c r="E214" s="1053">
        <f>IFERROR(IF(Loan_Not_Paid*Values_Entered,Monthly_Payment,""), "")</f>
        <v/>
      </c>
      <c r="F214" s="1053">
        <f>IFERROR(IF(Loan_Not_Paid*Values_Entered,Principal,""), "")</f>
        <v/>
      </c>
      <c r="G214" s="1053">
        <f>IFERROR(IF(Loan_Not_Paid*Values_Entered,Interest,""), "")</f>
        <v/>
      </c>
      <c r="H214" s="1053">
        <f>IFERROR(IF(Loan_Not_Paid*Values_Entered,Ending_Balance,""), "")</f>
        <v/>
      </c>
    </row>
    <row r="215">
      <c r="B215" s="299">
        <f>IFERROR(IF(Loan_Not_Paid*Values_Entered,Payment_Number,""), "")</f>
        <v/>
      </c>
      <c r="C215" s="300">
        <f>IFERROR(IF(Loan_Not_Paid*Values_Entered,Payment_Date,""), "")</f>
        <v/>
      </c>
      <c r="D215" s="1053">
        <f>IFERROR(IF(Loan_Not_Paid*Values_Entered,Beginning_Balance,""), "")</f>
        <v/>
      </c>
      <c r="E215" s="1053">
        <f>IFERROR(IF(Loan_Not_Paid*Values_Entered,Monthly_Payment,""), "")</f>
        <v/>
      </c>
      <c r="F215" s="1053">
        <f>IFERROR(IF(Loan_Not_Paid*Values_Entered,Principal,""), "")</f>
        <v/>
      </c>
      <c r="G215" s="1053">
        <f>IFERROR(IF(Loan_Not_Paid*Values_Entered,Interest,""), "")</f>
        <v/>
      </c>
      <c r="H215" s="1053">
        <f>IFERROR(IF(Loan_Not_Paid*Values_Entered,Ending_Balance,""), "")</f>
        <v/>
      </c>
    </row>
    <row r="216">
      <c r="B216" s="299">
        <f>IFERROR(IF(Loan_Not_Paid*Values_Entered,Payment_Number,""), "")</f>
        <v/>
      </c>
      <c r="C216" s="300">
        <f>IFERROR(IF(Loan_Not_Paid*Values_Entered,Payment_Date,""), "")</f>
        <v/>
      </c>
      <c r="D216" s="1053">
        <f>IFERROR(IF(Loan_Not_Paid*Values_Entered,Beginning_Balance,""), "")</f>
        <v/>
      </c>
      <c r="E216" s="1053">
        <f>IFERROR(IF(Loan_Not_Paid*Values_Entered,Monthly_Payment,""), "")</f>
        <v/>
      </c>
      <c r="F216" s="1053">
        <f>IFERROR(IF(Loan_Not_Paid*Values_Entered,Principal,""), "")</f>
        <v/>
      </c>
      <c r="G216" s="1053">
        <f>IFERROR(IF(Loan_Not_Paid*Values_Entered,Interest,""), "")</f>
        <v/>
      </c>
      <c r="H216" s="1053">
        <f>IFERROR(IF(Loan_Not_Paid*Values_Entered,Ending_Balance,""), "")</f>
        <v/>
      </c>
    </row>
    <row r="217">
      <c r="B217" s="299">
        <f>IFERROR(IF(Loan_Not_Paid*Values_Entered,Payment_Number,""), "")</f>
        <v/>
      </c>
      <c r="C217" s="300">
        <f>IFERROR(IF(Loan_Not_Paid*Values_Entered,Payment_Date,""), "")</f>
        <v/>
      </c>
      <c r="D217" s="1053">
        <f>IFERROR(IF(Loan_Not_Paid*Values_Entered,Beginning_Balance,""), "")</f>
        <v/>
      </c>
      <c r="E217" s="1053">
        <f>IFERROR(IF(Loan_Not_Paid*Values_Entered,Monthly_Payment,""), "")</f>
        <v/>
      </c>
      <c r="F217" s="1053">
        <f>IFERROR(IF(Loan_Not_Paid*Values_Entered,Principal,""), "")</f>
        <v/>
      </c>
      <c r="G217" s="1053">
        <f>IFERROR(IF(Loan_Not_Paid*Values_Entered,Interest,""), "")</f>
        <v/>
      </c>
      <c r="H217" s="1053">
        <f>IFERROR(IF(Loan_Not_Paid*Values_Entered,Ending_Balance,""), "")</f>
        <v/>
      </c>
    </row>
    <row r="218">
      <c r="B218" s="299">
        <f>IFERROR(IF(Loan_Not_Paid*Values_Entered,Payment_Number,""), "")</f>
        <v/>
      </c>
      <c r="C218" s="300">
        <f>IFERROR(IF(Loan_Not_Paid*Values_Entered,Payment_Date,""), "")</f>
        <v/>
      </c>
      <c r="D218" s="1053">
        <f>IFERROR(IF(Loan_Not_Paid*Values_Entered,Beginning_Balance,""), "")</f>
        <v/>
      </c>
      <c r="E218" s="1053">
        <f>IFERROR(IF(Loan_Not_Paid*Values_Entered,Monthly_Payment,""), "")</f>
        <v/>
      </c>
      <c r="F218" s="1053">
        <f>IFERROR(IF(Loan_Not_Paid*Values_Entered,Principal,""), "")</f>
        <v/>
      </c>
      <c r="G218" s="1053">
        <f>IFERROR(IF(Loan_Not_Paid*Values_Entered,Interest,""), "")</f>
        <v/>
      </c>
      <c r="H218" s="1053">
        <f>IFERROR(IF(Loan_Not_Paid*Values_Entered,Ending_Balance,""), "")</f>
        <v/>
      </c>
    </row>
    <row r="219">
      <c r="B219" s="299">
        <f>IFERROR(IF(Loan_Not_Paid*Values_Entered,Payment_Number,""), "")</f>
        <v/>
      </c>
      <c r="C219" s="300">
        <f>IFERROR(IF(Loan_Not_Paid*Values_Entered,Payment_Date,""), "")</f>
        <v/>
      </c>
      <c r="D219" s="1053">
        <f>IFERROR(IF(Loan_Not_Paid*Values_Entered,Beginning_Balance,""), "")</f>
        <v/>
      </c>
      <c r="E219" s="1053">
        <f>IFERROR(IF(Loan_Not_Paid*Values_Entered,Monthly_Payment,""), "")</f>
        <v/>
      </c>
      <c r="F219" s="1053">
        <f>IFERROR(IF(Loan_Not_Paid*Values_Entered,Principal,""), "")</f>
        <v/>
      </c>
      <c r="G219" s="1053">
        <f>IFERROR(IF(Loan_Not_Paid*Values_Entered,Interest,""), "")</f>
        <v/>
      </c>
      <c r="H219" s="1053">
        <f>IFERROR(IF(Loan_Not_Paid*Values_Entered,Ending_Balance,""), "")</f>
        <v/>
      </c>
    </row>
    <row r="220">
      <c r="B220" s="299">
        <f>IFERROR(IF(Loan_Not_Paid*Values_Entered,Payment_Number,""), "")</f>
        <v/>
      </c>
      <c r="C220" s="300">
        <f>IFERROR(IF(Loan_Not_Paid*Values_Entered,Payment_Date,""), "")</f>
        <v/>
      </c>
      <c r="D220" s="1053">
        <f>IFERROR(IF(Loan_Not_Paid*Values_Entered,Beginning_Balance,""), "")</f>
        <v/>
      </c>
      <c r="E220" s="1053">
        <f>IFERROR(IF(Loan_Not_Paid*Values_Entered,Monthly_Payment,""), "")</f>
        <v/>
      </c>
      <c r="F220" s="1053">
        <f>IFERROR(IF(Loan_Not_Paid*Values_Entered,Principal,""), "")</f>
        <v/>
      </c>
      <c r="G220" s="1053">
        <f>IFERROR(IF(Loan_Not_Paid*Values_Entered,Interest,""), "")</f>
        <v/>
      </c>
      <c r="H220" s="1053">
        <f>IFERROR(IF(Loan_Not_Paid*Values_Entered,Ending_Balance,""), "")</f>
        <v/>
      </c>
    </row>
    <row r="221">
      <c r="B221" s="299">
        <f>IFERROR(IF(Loan_Not_Paid*Values_Entered,Payment_Number,""), "")</f>
        <v/>
      </c>
      <c r="C221" s="300">
        <f>IFERROR(IF(Loan_Not_Paid*Values_Entered,Payment_Date,""), "")</f>
        <v/>
      </c>
      <c r="D221" s="1053">
        <f>IFERROR(IF(Loan_Not_Paid*Values_Entered,Beginning_Balance,""), "")</f>
        <v/>
      </c>
      <c r="E221" s="1053">
        <f>IFERROR(IF(Loan_Not_Paid*Values_Entered,Monthly_Payment,""), "")</f>
        <v/>
      </c>
      <c r="F221" s="1053">
        <f>IFERROR(IF(Loan_Not_Paid*Values_Entered,Principal,""), "")</f>
        <v/>
      </c>
      <c r="G221" s="1053">
        <f>IFERROR(IF(Loan_Not_Paid*Values_Entered,Interest,""), "")</f>
        <v/>
      </c>
      <c r="H221" s="1053">
        <f>IFERROR(IF(Loan_Not_Paid*Values_Entered,Ending_Balance,""), "")</f>
        <v/>
      </c>
    </row>
    <row r="222">
      <c r="B222" s="299">
        <f>IFERROR(IF(Loan_Not_Paid*Values_Entered,Payment_Number,""), "")</f>
        <v/>
      </c>
      <c r="C222" s="300">
        <f>IFERROR(IF(Loan_Not_Paid*Values_Entered,Payment_Date,""), "")</f>
        <v/>
      </c>
      <c r="D222" s="1053">
        <f>IFERROR(IF(Loan_Not_Paid*Values_Entered,Beginning_Balance,""), "")</f>
        <v/>
      </c>
      <c r="E222" s="1053">
        <f>IFERROR(IF(Loan_Not_Paid*Values_Entered,Monthly_Payment,""), "")</f>
        <v/>
      </c>
      <c r="F222" s="1053">
        <f>IFERROR(IF(Loan_Not_Paid*Values_Entered,Principal,""), "")</f>
        <v/>
      </c>
      <c r="G222" s="1053">
        <f>IFERROR(IF(Loan_Not_Paid*Values_Entered,Interest,""), "")</f>
        <v/>
      </c>
      <c r="H222" s="1053">
        <f>IFERROR(IF(Loan_Not_Paid*Values_Entered,Ending_Balance,""), "")</f>
        <v/>
      </c>
    </row>
    <row r="223">
      <c r="B223" s="299">
        <f>IFERROR(IF(Loan_Not_Paid*Values_Entered,Payment_Number,""), "")</f>
        <v/>
      </c>
      <c r="C223" s="300">
        <f>IFERROR(IF(Loan_Not_Paid*Values_Entered,Payment_Date,""), "")</f>
        <v/>
      </c>
      <c r="D223" s="1053">
        <f>IFERROR(IF(Loan_Not_Paid*Values_Entered,Beginning_Balance,""), "")</f>
        <v/>
      </c>
      <c r="E223" s="1053">
        <f>IFERROR(IF(Loan_Not_Paid*Values_Entered,Monthly_Payment,""), "")</f>
        <v/>
      </c>
      <c r="F223" s="1053">
        <f>IFERROR(IF(Loan_Not_Paid*Values_Entered,Principal,""), "")</f>
        <v/>
      </c>
      <c r="G223" s="1053">
        <f>IFERROR(IF(Loan_Not_Paid*Values_Entered,Interest,""), "")</f>
        <v/>
      </c>
      <c r="H223" s="1053">
        <f>IFERROR(IF(Loan_Not_Paid*Values_Entered,Ending_Balance,""), "")</f>
        <v/>
      </c>
    </row>
    <row r="224">
      <c r="B224" s="299">
        <f>IFERROR(IF(Loan_Not_Paid*Values_Entered,Payment_Number,""), "")</f>
        <v/>
      </c>
      <c r="C224" s="300">
        <f>IFERROR(IF(Loan_Not_Paid*Values_Entered,Payment_Date,""), "")</f>
        <v/>
      </c>
      <c r="D224" s="1053">
        <f>IFERROR(IF(Loan_Not_Paid*Values_Entered,Beginning_Balance,""), "")</f>
        <v/>
      </c>
      <c r="E224" s="1053">
        <f>IFERROR(IF(Loan_Not_Paid*Values_Entered,Monthly_Payment,""), "")</f>
        <v/>
      </c>
      <c r="F224" s="1053">
        <f>IFERROR(IF(Loan_Not_Paid*Values_Entered,Principal,""), "")</f>
        <v/>
      </c>
      <c r="G224" s="1053">
        <f>IFERROR(IF(Loan_Not_Paid*Values_Entered,Interest,""), "")</f>
        <v/>
      </c>
      <c r="H224" s="1053">
        <f>IFERROR(IF(Loan_Not_Paid*Values_Entered,Ending_Balance,""), "")</f>
        <v/>
      </c>
    </row>
    <row r="225">
      <c r="B225" s="299">
        <f>IFERROR(IF(Loan_Not_Paid*Values_Entered,Payment_Number,""), "")</f>
        <v/>
      </c>
      <c r="C225" s="300">
        <f>IFERROR(IF(Loan_Not_Paid*Values_Entered,Payment_Date,""), "")</f>
        <v/>
      </c>
      <c r="D225" s="1053">
        <f>IFERROR(IF(Loan_Not_Paid*Values_Entered,Beginning_Balance,""), "")</f>
        <v/>
      </c>
      <c r="E225" s="1053">
        <f>IFERROR(IF(Loan_Not_Paid*Values_Entered,Monthly_Payment,""), "")</f>
        <v/>
      </c>
      <c r="F225" s="1053">
        <f>IFERROR(IF(Loan_Not_Paid*Values_Entered,Principal,""), "")</f>
        <v/>
      </c>
      <c r="G225" s="1053">
        <f>IFERROR(IF(Loan_Not_Paid*Values_Entered,Interest,""), "")</f>
        <v/>
      </c>
      <c r="H225" s="1053">
        <f>IFERROR(IF(Loan_Not_Paid*Values_Entered,Ending_Balance,""), "")</f>
        <v/>
      </c>
    </row>
    <row r="226">
      <c r="B226" s="299">
        <f>IFERROR(IF(Loan_Not_Paid*Values_Entered,Payment_Number,""), "")</f>
        <v/>
      </c>
      <c r="C226" s="300">
        <f>IFERROR(IF(Loan_Not_Paid*Values_Entered,Payment_Date,""), "")</f>
        <v/>
      </c>
      <c r="D226" s="1053">
        <f>IFERROR(IF(Loan_Not_Paid*Values_Entered,Beginning_Balance,""), "")</f>
        <v/>
      </c>
      <c r="E226" s="1053">
        <f>IFERROR(IF(Loan_Not_Paid*Values_Entered,Monthly_Payment,""), "")</f>
        <v/>
      </c>
      <c r="F226" s="1053">
        <f>IFERROR(IF(Loan_Not_Paid*Values_Entered,Principal,""), "")</f>
        <v/>
      </c>
      <c r="G226" s="1053">
        <f>IFERROR(IF(Loan_Not_Paid*Values_Entered,Interest,""), "")</f>
        <v/>
      </c>
      <c r="H226" s="1053">
        <f>IFERROR(IF(Loan_Not_Paid*Values_Entered,Ending_Balance,""), "")</f>
        <v/>
      </c>
    </row>
    <row r="227">
      <c r="B227" s="299">
        <f>IFERROR(IF(Loan_Not_Paid*Values_Entered,Payment_Number,""), "")</f>
        <v/>
      </c>
      <c r="C227" s="300">
        <f>IFERROR(IF(Loan_Not_Paid*Values_Entered,Payment_Date,""), "")</f>
        <v/>
      </c>
      <c r="D227" s="1053">
        <f>IFERROR(IF(Loan_Not_Paid*Values_Entered,Beginning_Balance,""), "")</f>
        <v/>
      </c>
      <c r="E227" s="1053">
        <f>IFERROR(IF(Loan_Not_Paid*Values_Entered,Monthly_Payment,""), "")</f>
        <v/>
      </c>
      <c r="F227" s="1053">
        <f>IFERROR(IF(Loan_Not_Paid*Values_Entered,Principal,""), "")</f>
        <v/>
      </c>
      <c r="G227" s="1053">
        <f>IFERROR(IF(Loan_Not_Paid*Values_Entered,Interest,""), "")</f>
        <v/>
      </c>
      <c r="H227" s="1053">
        <f>IFERROR(IF(Loan_Not_Paid*Values_Entered,Ending_Balance,""), "")</f>
        <v/>
      </c>
    </row>
    <row r="228">
      <c r="B228" s="299">
        <f>IFERROR(IF(Loan_Not_Paid*Values_Entered,Payment_Number,""), "")</f>
        <v/>
      </c>
      <c r="C228" s="300">
        <f>IFERROR(IF(Loan_Not_Paid*Values_Entered,Payment_Date,""), "")</f>
        <v/>
      </c>
      <c r="D228" s="1053">
        <f>IFERROR(IF(Loan_Not_Paid*Values_Entered,Beginning_Balance,""), "")</f>
        <v/>
      </c>
      <c r="E228" s="1053">
        <f>IFERROR(IF(Loan_Not_Paid*Values_Entered,Monthly_Payment,""), "")</f>
        <v/>
      </c>
      <c r="F228" s="1053">
        <f>IFERROR(IF(Loan_Not_Paid*Values_Entered,Principal,""), "")</f>
        <v/>
      </c>
      <c r="G228" s="1053">
        <f>IFERROR(IF(Loan_Not_Paid*Values_Entered,Interest,""), "")</f>
        <v/>
      </c>
      <c r="H228" s="1053">
        <f>IFERROR(IF(Loan_Not_Paid*Values_Entered,Ending_Balance,""), "")</f>
        <v/>
      </c>
    </row>
    <row r="229">
      <c r="B229" s="299">
        <f>IFERROR(IF(Loan_Not_Paid*Values_Entered,Payment_Number,""), "")</f>
        <v/>
      </c>
      <c r="C229" s="300">
        <f>IFERROR(IF(Loan_Not_Paid*Values_Entered,Payment_Date,""), "")</f>
        <v/>
      </c>
      <c r="D229" s="1053">
        <f>IFERROR(IF(Loan_Not_Paid*Values_Entered,Beginning_Balance,""), "")</f>
        <v/>
      </c>
      <c r="E229" s="1053">
        <f>IFERROR(IF(Loan_Not_Paid*Values_Entered,Monthly_Payment,""), "")</f>
        <v/>
      </c>
      <c r="F229" s="1053">
        <f>IFERROR(IF(Loan_Not_Paid*Values_Entered,Principal,""), "")</f>
        <v/>
      </c>
      <c r="G229" s="1053">
        <f>IFERROR(IF(Loan_Not_Paid*Values_Entered,Interest,""), "")</f>
        <v/>
      </c>
      <c r="H229" s="1053">
        <f>IFERROR(IF(Loan_Not_Paid*Values_Entered,Ending_Balance,""), "")</f>
        <v/>
      </c>
    </row>
    <row r="230">
      <c r="B230" s="299">
        <f>IFERROR(IF(Loan_Not_Paid*Values_Entered,Payment_Number,""), "")</f>
        <v/>
      </c>
      <c r="C230" s="300">
        <f>IFERROR(IF(Loan_Not_Paid*Values_Entered,Payment_Date,""), "")</f>
        <v/>
      </c>
      <c r="D230" s="1053">
        <f>IFERROR(IF(Loan_Not_Paid*Values_Entered,Beginning_Balance,""), "")</f>
        <v/>
      </c>
      <c r="E230" s="1053">
        <f>IFERROR(IF(Loan_Not_Paid*Values_Entered,Monthly_Payment,""), "")</f>
        <v/>
      </c>
      <c r="F230" s="1053">
        <f>IFERROR(IF(Loan_Not_Paid*Values_Entered,Principal,""), "")</f>
        <v/>
      </c>
      <c r="G230" s="1053">
        <f>IFERROR(IF(Loan_Not_Paid*Values_Entered,Interest,""), "")</f>
        <v/>
      </c>
      <c r="H230" s="1053">
        <f>IFERROR(IF(Loan_Not_Paid*Values_Entered,Ending_Balance,""), "")</f>
        <v/>
      </c>
    </row>
    <row r="231">
      <c r="B231" s="299">
        <f>IFERROR(IF(Loan_Not_Paid*Values_Entered,Payment_Number,""), "")</f>
        <v/>
      </c>
      <c r="C231" s="300">
        <f>IFERROR(IF(Loan_Not_Paid*Values_Entered,Payment_Date,""), "")</f>
        <v/>
      </c>
      <c r="D231" s="1053">
        <f>IFERROR(IF(Loan_Not_Paid*Values_Entered,Beginning_Balance,""), "")</f>
        <v/>
      </c>
      <c r="E231" s="1053">
        <f>IFERROR(IF(Loan_Not_Paid*Values_Entered,Monthly_Payment,""), "")</f>
        <v/>
      </c>
      <c r="F231" s="1053">
        <f>IFERROR(IF(Loan_Not_Paid*Values_Entered,Principal,""), "")</f>
        <v/>
      </c>
      <c r="G231" s="1053">
        <f>IFERROR(IF(Loan_Not_Paid*Values_Entered,Interest,""), "")</f>
        <v/>
      </c>
      <c r="H231" s="1053">
        <f>IFERROR(IF(Loan_Not_Paid*Values_Entered,Ending_Balance,""), "")</f>
        <v/>
      </c>
    </row>
    <row r="232">
      <c r="B232" s="299">
        <f>IFERROR(IF(Loan_Not_Paid*Values_Entered,Payment_Number,""), "")</f>
        <v/>
      </c>
      <c r="C232" s="300">
        <f>IFERROR(IF(Loan_Not_Paid*Values_Entered,Payment_Date,""), "")</f>
        <v/>
      </c>
      <c r="D232" s="1053">
        <f>IFERROR(IF(Loan_Not_Paid*Values_Entered,Beginning_Balance,""), "")</f>
        <v/>
      </c>
      <c r="E232" s="1053">
        <f>IFERROR(IF(Loan_Not_Paid*Values_Entered,Monthly_Payment,""), "")</f>
        <v/>
      </c>
      <c r="F232" s="1053">
        <f>IFERROR(IF(Loan_Not_Paid*Values_Entered,Principal,""), "")</f>
        <v/>
      </c>
      <c r="G232" s="1053">
        <f>IFERROR(IF(Loan_Not_Paid*Values_Entered,Interest,""), "")</f>
        <v/>
      </c>
      <c r="H232" s="1053">
        <f>IFERROR(IF(Loan_Not_Paid*Values_Entered,Ending_Balance,""), "")</f>
        <v/>
      </c>
    </row>
    <row r="233">
      <c r="B233" s="299">
        <f>IFERROR(IF(Loan_Not_Paid*Values_Entered,Payment_Number,""), "")</f>
        <v/>
      </c>
      <c r="C233" s="300">
        <f>IFERROR(IF(Loan_Not_Paid*Values_Entered,Payment_Date,""), "")</f>
        <v/>
      </c>
      <c r="D233" s="1053">
        <f>IFERROR(IF(Loan_Not_Paid*Values_Entered,Beginning_Balance,""), "")</f>
        <v/>
      </c>
      <c r="E233" s="1053">
        <f>IFERROR(IF(Loan_Not_Paid*Values_Entered,Monthly_Payment,""), "")</f>
        <v/>
      </c>
      <c r="F233" s="1053">
        <f>IFERROR(IF(Loan_Not_Paid*Values_Entered,Principal,""), "")</f>
        <v/>
      </c>
      <c r="G233" s="1053">
        <f>IFERROR(IF(Loan_Not_Paid*Values_Entered,Interest,""), "")</f>
        <v/>
      </c>
      <c r="H233" s="1053">
        <f>IFERROR(IF(Loan_Not_Paid*Values_Entered,Ending_Balance,""), "")</f>
        <v/>
      </c>
    </row>
    <row r="234">
      <c r="B234" s="299">
        <f>IFERROR(IF(Loan_Not_Paid*Values_Entered,Payment_Number,""), "")</f>
        <v/>
      </c>
      <c r="C234" s="300">
        <f>IFERROR(IF(Loan_Not_Paid*Values_Entered,Payment_Date,""), "")</f>
        <v/>
      </c>
      <c r="D234" s="1053">
        <f>IFERROR(IF(Loan_Not_Paid*Values_Entered,Beginning_Balance,""), "")</f>
        <v/>
      </c>
      <c r="E234" s="1053">
        <f>IFERROR(IF(Loan_Not_Paid*Values_Entered,Monthly_Payment,""), "")</f>
        <v/>
      </c>
      <c r="F234" s="1053">
        <f>IFERROR(IF(Loan_Not_Paid*Values_Entered,Principal,""), "")</f>
        <v/>
      </c>
      <c r="G234" s="1053">
        <f>IFERROR(IF(Loan_Not_Paid*Values_Entered,Interest,""), "")</f>
        <v/>
      </c>
      <c r="H234" s="1053">
        <f>IFERROR(IF(Loan_Not_Paid*Values_Entered,Ending_Balance,""), "")</f>
        <v/>
      </c>
    </row>
    <row r="235">
      <c r="B235" s="299">
        <f>IFERROR(IF(Loan_Not_Paid*Values_Entered,Payment_Number,""), "")</f>
        <v/>
      </c>
      <c r="C235" s="300">
        <f>IFERROR(IF(Loan_Not_Paid*Values_Entered,Payment_Date,""), "")</f>
        <v/>
      </c>
      <c r="D235" s="1053">
        <f>IFERROR(IF(Loan_Not_Paid*Values_Entered,Beginning_Balance,""), "")</f>
        <v/>
      </c>
      <c r="E235" s="1053">
        <f>IFERROR(IF(Loan_Not_Paid*Values_Entered,Monthly_Payment,""), "")</f>
        <v/>
      </c>
      <c r="F235" s="1053">
        <f>IFERROR(IF(Loan_Not_Paid*Values_Entered,Principal,""), "")</f>
        <v/>
      </c>
      <c r="G235" s="1053">
        <f>IFERROR(IF(Loan_Not_Paid*Values_Entered,Interest,""), "")</f>
        <v/>
      </c>
      <c r="H235" s="1053">
        <f>IFERROR(IF(Loan_Not_Paid*Values_Entered,Ending_Balance,""), "")</f>
        <v/>
      </c>
    </row>
    <row r="236">
      <c r="B236" s="299">
        <f>IFERROR(IF(Loan_Not_Paid*Values_Entered,Payment_Number,""), "")</f>
        <v/>
      </c>
      <c r="C236" s="300">
        <f>IFERROR(IF(Loan_Not_Paid*Values_Entered,Payment_Date,""), "")</f>
        <v/>
      </c>
      <c r="D236" s="1053">
        <f>IFERROR(IF(Loan_Not_Paid*Values_Entered,Beginning_Balance,""), "")</f>
        <v/>
      </c>
      <c r="E236" s="1053">
        <f>IFERROR(IF(Loan_Not_Paid*Values_Entered,Monthly_Payment,""), "")</f>
        <v/>
      </c>
      <c r="F236" s="1053">
        <f>IFERROR(IF(Loan_Not_Paid*Values_Entered,Principal,""), "")</f>
        <v/>
      </c>
      <c r="G236" s="1053">
        <f>IFERROR(IF(Loan_Not_Paid*Values_Entered,Interest,""), "")</f>
        <v/>
      </c>
      <c r="H236" s="1053">
        <f>IFERROR(IF(Loan_Not_Paid*Values_Entered,Ending_Balance,""), "")</f>
        <v/>
      </c>
    </row>
    <row r="237">
      <c r="B237" s="299">
        <f>IFERROR(IF(Loan_Not_Paid*Values_Entered,Payment_Number,""), "")</f>
        <v/>
      </c>
      <c r="C237" s="300">
        <f>IFERROR(IF(Loan_Not_Paid*Values_Entered,Payment_Date,""), "")</f>
        <v/>
      </c>
      <c r="D237" s="1053">
        <f>IFERROR(IF(Loan_Not_Paid*Values_Entered,Beginning_Balance,""), "")</f>
        <v/>
      </c>
      <c r="E237" s="1053">
        <f>IFERROR(IF(Loan_Not_Paid*Values_Entered,Monthly_Payment,""), "")</f>
        <v/>
      </c>
      <c r="F237" s="1053">
        <f>IFERROR(IF(Loan_Not_Paid*Values_Entered,Principal,""), "")</f>
        <v/>
      </c>
      <c r="G237" s="1053">
        <f>IFERROR(IF(Loan_Not_Paid*Values_Entered,Interest,""), "")</f>
        <v/>
      </c>
      <c r="H237" s="1053">
        <f>IFERROR(IF(Loan_Not_Paid*Values_Entered,Ending_Balance,""), "")</f>
        <v/>
      </c>
    </row>
    <row r="238">
      <c r="B238" s="299">
        <f>IFERROR(IF(Loan_Not_Paid*Values_Entered,Payment_Number,""), "")</f>
        <v/>
      </c>
      <c r="C238" s="300">
        <f>IFERROR(IF(Loan_Not_Paid*Values_Entered,Payment_Date,""), "")</f>
        <v/>
      </c>
      <c r="D238" s="1053">
        <f>IFERROR(IF(Loan_Not_Paid*Values_Entered,Beginning_Balance,""), "")</f>
        <v/>
      </c>
      <c r="E238" s="1053">
        <f>IFERROR(IF(Loan_Not_Paid*Values_Entered,Monthly_Payment,""), "")</f>
        <v/>
      </c>
      <c r="F238" s="1053">
        <f>IFERROR(IF(Loan_Not_Paid*Values_Entered,Principal,""), "")</f>
        <v/>
      </c>
      <c r="G238" s="1053">
        <f>IFERROR(IF(Loan_Not_Paid*Values_Entered,Interest,""), "")</f>
        <v/>
      </c>
      <c r="H238" s="1053">
        <f>IFERROR(IF(Loan_Not_Paid*Values_Entered,Ending_Balance,""), "")</f>
        <v/>
      </c>
    </row>
    <row r="239">
      <c r="B239" s="299">
        <f>IFERROR(IF(Loan_Not_Paid*Values_Entered,Payment_Number,""), "")</f>
        <v/>
      </c>
      <c r="C239" s="300">
        <f>IFERROR(IF(Loan_Not_Paid*Values_Entered,Payment_Date,""), "")</f>
        <v/>
      </c>
      <c r="D239" s="1053">
        <f>IFERROR(IF(Loan_Not_Paid*Values_Entered,Beginning_Balance,""), "")</f>
        <v/>
      </c>
      <c r="E239" s="1053">
        <f>IFERROR(IF(Loan_Not_Paid*Values_Entered,Monthly_Payment,""), "")</f>
        <v/>
      </c>
      <c r="F239" s="1053">
        <f>IFERROR(IF(Loan_Not_Paid*Values_Entered,Principal,""), "")</f>
        <v/>
      </c>
      <c r="G239" s="1053">
        <f>IFERROR(IF(Loan_Not_Paid*Values_Entered,Interest,""), "")</f>
        <v/>
      </c>
      <c r="H239" s="1053">
        <f>IFERROR(IF(Loan_Not_Paid*Values_Entered,Ending_Balance,""), "")</f>
        <v/>
      </c>
    </row>
    <row r="240">
      <c r="B240" s="299">
        <f>IFERROR(IF(Loan_Not_Paid*Values_Entered,Payment_Number,""), "")</f>
        <v/>
      </c>
      <c r="C240" s="300">
        <f>IFERROR(IF(Loan_Not_Paid*Values_Entered,Payment_Date,""), "")</f>
        <v/>
      </c>
      <c r="D240" s="1053">
        <f>IFERROR(IF(Loan_Not_Paid*Values_Entered,Beginning_Balance,""), "")</f>
        <v/>
      </c>
      <c r="E240" s="1053">
        <f>IFERROR(IF(Loan_Not_Paid*Values_Entered,Monthly_Payment,""), "")</f>
        <v/>
      </c>
      <c r="F240" s="1053">
        <f>IFERROR(IF(Loan_Not_Paid*Values_Entered,Principal,""), "")</f>
        <v/>
      </c>
      <c r="G240" s="1053">
        <f>IFERROR(IF(Loan_Not_Paid*Values_Entered,Interest,""), "")</f>
        <v/>
      </c>
      <c r="H240" s="1053">
        <f>IFERROR(IF(Loan_Not_Paid*Values_Entered,Ending_Balance,""), "")</f>
        <v/>
      </c>
    </row>
    <row r="241">
      <c r="B241" s="299">
        <f>IFERROR(IF(Loan_Not_Paid*Values_Entered,Payment_Number,""), "")</f>
        <v/>
      </c>
      <c r="C241" s="300">
        <f>IFERROR(IF(Loan_Not_Paid*Values_Entered,Payment_Date,""), "")</f>
        <v/>
      </c>
      <c r="D241" s="1053">
        <f>IFERROR(IF(Loan_Not_Paid*Values_Entered,Beginning_Balance,""), "")</f>
        <v/>
      </c>
      <c r="E241" s="1053">
        <f>IFERROR(IF(Loan_Not_Paid*Values_Entered,Monthly_Payment,""), "")</f>
        <v/>
      </c>
      <c r="F241" s="1053">
        <f>IFERROR(IF(Loan_Not_Paid*Values_Entered,Principal,""), "")</f>
        <v/>
      </c>
      <c r="G241" s="1053">
        <f>IFERROR(IF(Loan_Not_Paid*Values_Entered,Interest,""), "")</f>
        <v/>
      </c>
      <c r="H241" s="1053">
        <f>IFERROR(IF(Loan_Not_Paid*Values_Entered,Ending_Balance,""), "")</f>
        <v/>
      </c>
    </row>
    <row r="242">
      <c r="B242" s="299">
        <f>IFERROR(IF(Loan_Not_Paid*Values_Entered,Payment_Number,""), "")</f>
        <v/>
      </c>
      <c r="C242" s="300">
        <f>IFERROR(IF(Loan_Not_Paid*Values_Entered,Payment_Date,""), "")</f>
        <v/>
      </c>
      <c r="D242" s="1053">
        <f>IFERROR(IF(Loan_Not_Paid*Values_Entered,Beginning_Balance,""), "")</f>
        <v/>
      </c>
      <c r="E242" s="1053">
        <f>IFERROR(IF(Loan_Not_Paid*Values_Entered,Monthly_Payment,""), "")</f>
        <v/>
      </c>
      <c r="F242" s="1053">
        <f>IFERROR(IF(Loan_Not_Paid*Values_Entered,Principal,""), "")</f>
        <v/>
      </c>
      <c r="G242" s="1053">
        <f>IFERROR(IF(Loan_Not_Paid*Values_Entered,Interest,""), "")</f>
        <v/>
      </c>
      <c r="H242" s="1053">
        <f>IFERROR(IF(Loan_Not_Paid*Values_Entered,Ending_Balance,""), "")</f>
        <v/>
      </c>
    </row>
    <row r="243">
      <c r="B243" s="299">
        <f>IFERROR(IF(Loan_Not_Paid*Values_Entered,Payment_Number,""), "")</f>
        <v/>
      </c>
      <c r="C243" s="300">
        <f>IFERROR(IF(Loan_Not_Paid*Values_Entered,Payment_Date,""), "")</f>
        <v/>
      </c>
      <c r="D243" s="1053">
        <f>IFERROR(IF(Loan_Not_Paid*Values_Entered,Beginning_Balance,""), "")</f>
        <v/>
      </c>
      <c r="E243" s="1053">
        <f>IFERROR(IF(Loan_Not_Paid*Values_Entered,Monthly_Payment,""), "")</f>
        <v/>
      </c>
      <c r="F243" s="1053">
        <f>IFERROR(IF(Loan_Not_Paid*Values_Entered,Principal,""), "")</f>
        <v/>
      </c>
      <c r="G243" s="1053">
        <f>IFERROR(IF(Loan_Not_Paid*Values_Entered,Interest,""), "")</f>
        <v/>
      </c>
      <c r="H243" s="1053">
        <f>IFERROR(IF(Loan_Not_Paid*Values_Entered,Ending_Balance,""), "")</f>
        <v/>
      </c>
    </row>
    <row r="244">
      <c r="B244" s="299">
        <f>IFERROR(IF(Loan_Not_Paid*Values_Entered,Payment_Number,""), "")</f>
        <v/>
      </c>
      <c r="C244" s="300">
        <f>IFERROR(IF(Loan_Not_Paid*Values_Entered,Payment_Date,""), "")</f>
        <v/>
      </c>
      <c r="D244" s="1053">
        <f>IFERROR(IF(Loan_Not_Paid*Values_Entered,Beginning_Balance,""), "")</f>
        <v/>
      </c>
      <c r="E244" s="1053">
        <f>IFERROR(IF(Loan_Not_Paid*Values_Entered,Monthly_Payment,""), "")</f>
        <v/>
      </c>
      <c r="F244" s="1053">
        <f>IFERROR(IF(Loan_Not_Paid*Values_Entered,Principal,""), "")</f>
        <v/>
      </c>
      <c r="G244" s="1053">
        <f>IFERROR(IF(Loan_Not_Paid*Values_Entered,Interest,""), "")</f>
        <v/>
      </c>
      <c r="H244" s="1053">
        <f>IFERROR(IF(Loan_Not_Paid*Values_Entered,Ending_Balance,""), "")</f>
        <v/>
      </c>
    </row>
    <row r="245">
      <c r="B245" s="299">
        <f>IFERROR(IF(Loan_Not_Paid*Values_Entered,Payment_Number,""), "")</f>
        <v/>
      </c>
      <c r="C245" s="300">
        <f>IFERROR(IF(Loan_Not_Paid*Values_Entered,Payment_Date,""), "")</f>
        <v/>
      </c>
      <c r="D245" s="1053">
        <f>IFERROR(IF(Loan_Not_Paid*Values_Entered,Beginning_Balance,""), "")</f>
        <v/>
      </c>
      <c r="E245" s="1053">
        <f>IFERROR(IF(Loan_Not_Paid*Values_Entered,Monthly_Payment,""), "")</f>
        <v/>
      </c>
      <c r="F245" s="1053">
        <f>IFERROR(IF(Loan_Not_Paid*Values_Entered,Principal,""), "")</f>
        <v/>
      </c>
      <c r="G245" s="1053">
        <f>IFERROR(IF(Loan_Not_Paid*Values_Entered,Interest,""), "")</f>
        <v/>
      </c>
      <c r="H245" s="1053">
        <f>IFERROR(IF(Loan_Not_Paid*Values_Entered,Ending_Balance,""), "")</f>
        <v/>
      </c>
    </row>
    <row r="246">
      <c r="B246" s="299">
        <f>IFERROR(IF(Loan_Not_Paid*Values_Entered,Payment_Number,""), "")</f>
        <v/>
      </c>
      <c r="C246" s="300">
        <f>IFERROR(IF(Loan_Not_Paid*Values_Entered,Payment_Date,""), "")</f>
        <v/>
      </c>
      <c r="D246" s="1053">
        <f>IFERROR(IF(Loan_Not_Paid*Values_Entered,Beginning_Balance,""), "")</f>
        <v/>
      </c>
      <c r="E246" s="1053">
        <f>IFERROR(IF(Loan_Not_Paid*Values_Entered,Monthly_Payment,""), "")</f>
        <v/>
      </c>
      <c r="F246" s="1053">
        <f>IFERROR(IF(Loan_Not_Paid*Values_Entered,Principal,""), "")</f>
        <v/>
      </c>
      <c r="G246" s="1053">
        <f>IFERROR(IF(Loan_Not_Paid*Values_Entered,Interest,""), "")</f>
        <v/>
      </c>
      <c r="H246" s="1053">
        <f>IFERROR(IF(Loan_Not_Paid*Values_Entered,Ending_Balance,""), "")</f>
        <v/>
      </c>
    </row>
    <row r="247">
      <c r="B247" s="299">
        <f>IFERROR(IF(Loan_Not_Paid*Values_Entered,Payment_Number,""), "")</f>
        <v/>
      </c>
      <c r="C247" s="300">
        <f>IFERROR(IF(Loan_Not_Paid*Values_Entered,Payment_Date,""), "")</f>
        <v/>
      </c>
      <c r="D247" s="1053">
        <f>IFERROR(IF(Loan_Not_Paid*Values_Entered,Beginning_Balance,""), "")</f>
        <v/>
      </c>
      <c r="E247" s="1053">
        <f>IFERROR(IF(Loan_Not_Paid*Values_Entered,Monthly_Payment,""), "")</f>
        <v/>
      </c>
      <c r="F247" s="1053">
        <f>IFERROR(IF(Loan_Not_Paid*Values_Entered,Principal,""), "")</f>
        <v/>
      </c>
      <c r="G247" s="1053">
        <f>IFERROR(IF(Loan_Not_Paid*Values_Entered,Interest,""), "")</f>
        <v/>
      </c>
      <c r="H247" s="1053">
        <f>IFERROR(IF(Loan_Not_Paid*Values_Entered,Ending_Balance,""), "")</f>
        <v/>
      </c>
    </row>
    <row r="248">
      <c r="B248" s="299">
        <f>IFERROR(IF(Loan_Not_Paid*Values_Entered,Payment_Number,""), "")</f>
        <v/>
      </c>
      <c r="C248" s="300">
        <f>IFERROR(IF(Loan_Not_Paid*Values_Entered,Payment_Date,""), "")</f>
        <v/>
      </c>
      <c r="D248" s="1053">
        <f>IFERROR(IF(Loan_Not_Paid*Values_Entered,Beginning_Balance,""), "")</f>
        <v/>
      </c>
      <c r="E248" s="1053">
        <f>IFERROR(IF(Loan_Not_Paid*Values_Entered,Monthly_Payment,""), "")</f>
        <v/>
      </c>
      <c r="F248" s="1053">
        <f>IFERROR(IF(Loan_Not_Paid*Values_Entered,Principal,""), "")</f>
        <v/>
      </c>
      <c r="G248" s="1053">
        <f>IFERROR(IF(Loan_Not_Paid*Values_Entered,Interest,""), "")</f>
        <v/>
      </c>
      <c r="H248" s="1053">
        <f>IFERROR(IF(Loan_Not_Paid*Values_Entered,Ending_Balance,""), "")</f>
        <v/>
      </c>
    </row>
    <row r="249">
      <c r="B249" s="299">
        <f>IFERROR(IF(Loan_Not_Paid*Values_Entered,Payment_Number,""), "")</f>
        <v/>
      </c>
      <c r="C249" s="300">
        <f>IFERROR(IF(Loan_Not_Paid*Values_Entered,Payment_Date,""), "")</f>
        <v/>
      </c>
      <c r="D249" s="1053">
        <f>IFERROR(IF(Loan_Not_Paid*Values_Entered,Beginning_Balance,""), "")</f>
        <v/>
      </c>
      <c r="E249" s="1053">
        <f>IFERROR(IF(Loan_Not_Paid*Values_Entered,Monthly_Payment,""), "")</f>
        <v/>
      </c>
      <c r="F249" s="1053">
        <f>IFERROR(IF(Loan_Not_Paid*Values_Entered,Principal,""), "")</f>
        <v/>
      </c>
      <c r="G249" s="1053">
        <f>IFERROR(IF(Loan_Not_Paid*Values_Entered,Interest,""), "")</f>
        <v/>
      </c>
      <c r="H249" s="1053">
        <f>IFERROR(IF(Loan_Not_Paid*Values_Entered,Ending_Balance,""), "")</f>
        <v/>
      </c>
    </row>
    <row r="250">
      <c r="B250" s="299">
        <f>IFERROR(IF(Loan_Not_Paid*Values_Entered,Payment_Number,""), "")</f>
        <v/>
      </c>
      <c r="C250" s="300">
        <f>IFERROR(IF(Loan_Not_Paid*Values_Entered,Payment_Date,""), "")</f>
        <v/>
      </c>
      <c r="D250" s="1053">
        <f>IFERROR(IF(Loan_Not_Paid*Values_Entered,Beginning_Balance,""), "")</f>
        <v/>
      </c>
      <c r="E250" s="1053">
        <f>IFERROR(IF(Loan_Not_Paid*Values_Entered,Monthly_Payment,""), "")</f>
        <v/>
      </c>
      <c r="F250" s="1053">
        <f>IFERROR(IF(Loan_Not_Paid*Values_Entered,Principal,""), "")</f>
        <v/>
      </c>
      <c r="G250" s="1053">
        <f>IFERROR(IF(Loan_Not_Paid*Values_Entered,Interest,""), "")</f>
        <v/>
      </c>
      <c r="H250" s="1053">
        <f>IFERROR(IF(Loan_Not_Paid*Values_Entered,Ending_Balance,""), "")</f>
        <v/>
      </c>
    </row>
    <row r="251">
      <c r="B251" s="299">
        <f>IFERROR(IF(Loan_Not_Paid*Values_Entered,Payment_Number,""), "")</f>
        <v/>
      </c>
      <c r="C251" s="300">
        <f>IFERROR(IF(Loan_Not_Paid*Values_Entered,Payment_Date,""), "")</f>
        <v/>
      </c>
      <c r="D251" s="1053">
        <f>IFERROR(IF(Loan_Not_Paid*Values_Entered,Beginning_Balance,""), "")</f>
        <v/>
      </c>
      <c r="E251" s="1053">
        <f>IFERROR(IF(Loan_Not_Paid*Values_Entered,Monthly_Payment,""), "")</f>
        <v/>
      </c>
      <c r="F251" s="1053">
        <f>IFERROR(IF(Loan_Not_Paid*Values_Entered,Principal,""), "")</f>
        <v/>
      </c>
      <c r="G251" s="1053">
        <f>IFERROR(IF(Loan_Not_Paid*Values_Entered,Interest,""), "")</f>
        <v/>
      </c>
      <c r="H251" s="1053">
        <f>IFERROR(IF(Loan_Not_Paid*Values_Entered,Ending_Balance,""), "")</f>
        <v/>
      </c>
    </row>
    <row r="252">
      <c r="B252" s="299">
        <f>IFERROR(IF(Loan_Not_Paid*Values_Entered,Payment_Number,""), "")</f>
        <v/>
      </c>
      <c r="C252" s="300">
        <f>IFERROR(IF(Loan_Not_Paid*Values_Entered,Payment_Date,""), "")</f>
        <v/>
      </c>
      <c r="D252" s="1053">
        <f>IFERROR(IF(Loan_Not_Paid*Values_Entered,Beginning_Balance,""), "")</f>
        <v/>
      </c>
      <c r="E252" s="1053">
        <f>IFERROR(IF(Loan_Not_Paid*Values_Entered,Monthly_Payment,""), "")</f>
        <v/>
      </c>
      <c r="F252" s="1053">
        <f>IFERROR(IF(Loan_Not_Paid*Values_Entered,Principal,""), "")</f>
        <v/>
      </c>
      <c r="G252" s="1053">
        <f>IFERROR(IF(Loan_Not_Paid*Values_Entered,Interest,""), "")</f>
        <v/>
      </c>
      <c r="H252" s="1053">
        <f>IFERROR(IF(Loan_Not_Paid*Values_Entered,Ending_Balance,""), "")</f>
        <v/>
      </c>
    </row>
    <row r="253">
      <c r="B253" s="299">
        <f>IFERROR(IF(Loan_Not_Paid*Values_Entered,Payment_Number,""), "")</f>
        <v/>
      </c>
      <c r="C253" s="300">
        <f>IFERROR(IF(Loan_Not_Paid*Values_Entered,Payment_Date,""), "")</f>
        <v/>
      </c>
      <c r="D253" s="1053">
        <f>IFERROR(IF(Loan_Not_Paid*Values_Entered,Beginning_Balance,""), "")</f>
        <v/>
      </c>
      <c r="E253" s="1053">
        <f>IFERROR(IF(Loan_Not_Paid*Values_Entered,Monthly_Payment,""), "")</f>
        <v/>
      </c>
      <c r="F253" s="1053">
        <f>IFERROR(IF(Loan_Not_Paid*Values_Entered,Principal,""), "")</f>
        <v/>
      </c>
      <c r="G253" s="1053">
        <f>IFERROR(IF(Loan_Not_Paid*Values_Entered,Interest,""), "")</f>
        <v/>
      </c>
      <c r="H253" s="1053">
        <f>IFERROR(IF(Loan_Not_Paid*Values_Entered,Ending_Balance,""), "")</f>
        <v/>
      </c>
    </row>
    <row r="254">
      <c r="B254" s="299">
        <f>IFERROR(IF(Loan_Not_Paid*Values_Entered,Payment_Number,""), "")</f>
        <v/>
      </c>
      <c r="C254" s="300">
        <f>IFERROR(IF(Loan_Not_Paid*Values_Entered,Payment_Date,""), "")</f>
        <v/>
      </c>
      <c r="D254" s="1053">
        <f>IFERROR(IF(Loan_Not_Paid*Values_Entered,Beginning_Balance,""), "")</f>
        <v/>
      </c>
      <c r="E254" s="1053">
        <f>IFERROR(IF(Loan_Not_Paid*Values_Entered,Monthly_Payment,""), "")</f>
        <v/>
      </c>
      <c r="F254" s="1053">
        <f>IFERROR(IF(Loan_Not_Paid*Values_Entered,Principal,""), "")</f>
        <v/>
      </c>
      <c r="G254" s="1053">
        <f>IFERROR(IF(Loan_Not_Paid*Values_Entered,Interest,""), "")</f>
        <v/>
      </c>
      <c r="H254" s="1053">
        <f>IFERROR(IF(Loan_Not_Paid*Values_Entered,Ending_Balance,""), "")</f>
        <v/>
      </c>
    </row>
    <row r="255">
      <c r="B255" s="299">
        <f>IFERROR(IF(Loan_Not_Paid*Values_Entered,Payment_Number,""), "")</f>
        <v/>
      </c>
      <c r="C255" s="300">
        <f>IFERROR(IF(Loan_Not_Paid*Values_Entered,Payment_Date,""), "")</f>
        <v/>
      </c>
      <c r="D255" s="1053">
        <f>IFERROR(IF(Loan_Not_Paid*Values_Entered,Beginning_Balance,""), "")</f>
        <v/>
      </c>
      <c r="E255" s="1053">
        <f>IFERROR(IF(Loan_Not_Paid*Values_Entered,Monthly_Payment,""), "")</f>
        <v/>
      </c>
      <c r="F255" s="1053">
        <f>IFERROR(IF(Loan_Not_Paid*Values_Entered,Principal,""), "")</f>
        <v/>
      </c>
      <c r="G255" s="1053">
        <f>IFERROR(IF(Loan_Not_Paid*Values_Entered,Interest,""), "")</f>
        <v/>
      </c>
      <c r="H255" s="1053">
        <f>IFERROR(IF(Loan_Not_Paid*Values_Entered,Ending_Balance,""), "")</f>
        <v/>
      </c>
    </row>
    <row r="256">
      <c r="B256" s="299">
        <f>IFERROR(IF(Loan_Not_Paid*Values_Entered,Payment_Number,""), "")</f>
        <v/>
      </c>
      <c r="C256" s="300">
        <f>IFERROR(IF(Loan_Not_Paid*Values_Entered,Payment_Date,""), "")</f>
        <v/>
      </c>
      <c r="D256" s="1053">
        <f>IFERROR(IF(Loan_Not_Paid*Values_Entered,Beginning_Balance,""), "")</f>
        <v/>
      </c>
      <c r="E256" s="1053">
        <f>IFERROR(IF(Loan_Not_Paid*Values_Entered,Monthly_Payment,""), "")</f>
        <v/>
      </c>
      <c r="F256" s="1053">
        <f>IFERROR(IF(Loan_Not_Paid*Values_Entered,Principal,""), "")</f>
        <v/>
      </c>
      <c r="G256" s="1053">
        <f>IFERROR(IF(Loan_Not_Paid*Values_Entered,Interest,""), "")</f>
        <v/>
      </c>
      <c r="H256" s="1053">
        <f>IFERROR(IF(Loan_Not_Paid*Values_Entered,Ending_Balance,""), "")</f>
        <v/>
      </c>
    </row>
    <row r="257">
      <c r="B257" s="299">
        <f>IFERROR(IF(Loan_Not_Paid*Values_Entered,Payment_Number,""), "")</f>
        <v/>
      </c>
      <c r="C257" s="300">
        <f>IFERROR(IF(Loan_Not_Paid*Values_Entered,Payment_Date,""), "")</f>
        <v/>
      </c>
      <c r="D257" s="1053">
        <f>IFERROR(IF(Loan_Not_Paid*Values_Entered,Beginning_Balance,""), "")</f>
        <v/>
      </c>
      <c r="E257" s="1053">
        <f>IFERROR(IF(Loan_Not_Paid*Values_Entered,Monthly_Payment,""), "")</f>
        <v/>
      </c>
      <c r="F257" s="1053">
        <f>IFERROR(IF(Loan_Not_Paid*Values_Entered,Principal,""), "")</f>
        <v/>
      </c>
      <c r="G257" s="1053">
        <f>IFERROR(IF(Loan_Not_Paid*Values_Entered,Interest,""), "")</f>
        <v/>
      </c>
      <c r="H257" s="1053">
        <f>IFERROR(IF(Loan_Not_Paid*Values_Entered,Ending_Balance,""), "")</f>
        <v/>
      </c>
    </row>
    <row r="258">
      <c r="B258" s="299">
        <f>IFERROR(IF(Loan_Not_Paid*Values_Entered,Payment_Number,""), "")</f>
        <v/>
      </c>
      <c r="C258" s="300">
        <f>IFERROR(IF(Loan_Not_Paid*Values_Entered,Payment_Date,""), "")</f>
        <v/>
      </c>
      <c r="D258" s="1053">
        <f>IFERROR(IF(Loan_Not_Paid*Values_Entered,Beginning_Balance,""), "")</f>
        <v/>
      </c>
      <c r="E258" s="1053">
        <f>IFERROR(IF(Loan_Not_Paid*Values_Entered,Monthly_Payment,""), "")</f>
        <v/>
      </c>
      <c r="F258" s="1053">
        <f>IFERROR(IF(Loan_Not_Paid*Values_Entered,Principal,""), "")</f>
        <v/>
      </c>
      <c r="G258" s="1053">
        <f>IFERROR(IF(Loan_Not_Paid*Values_Entered,Interest,""), "")</f>
        <v/>
      </c>
      <c r="H258" s="1053">
        <f>IFERROR(IF(Loan_Not_Paid*Values_Entered,Ending_Balance,""), "")</f>
        <v/>
      </c>
    </row>
    <row r="259">
      <c r="B259" s="299">
        <f>IFERROR(IF(Loan_Not_Paid*Values_Entered,Payment_Number,""), "")</f>
        <v/>
      </c>
      <c r="C259" s="300">
        <f>IFERROR(IF(Loan_Not_Paid*Values_Entered,Payment_Date,""), "")</f>
        <v/>
      </c>
      <c r="D259" s="1053">
        <f>IFERROR(IF(Loan_Not_Paid*Values_Entered,Beginning_Balance,""), "")</f>
        <v/>
      </c>
      <c r="E259" s="1053">
        <f>IFERROR(IF(Loan_Not_Paid*Values_Entered,Monthly_Payment,""), "")</f>
        <v/>
      </c>
      <c r="F259" s="1053">
        <f>IFERROR(IF(Loan_Not_Paid*Values_Entered,Principal,""), "")</f>
        <v/>
      </c>
      <c r="G259" s="1053">
        <f>IFERROR(IF(Loan_Not_Paid*Values_Entered,Interest,""), "")</f>
        <v/>
      </c>
      <c r="H259" s="1053">
        <f>IFERROR(IF(Loan_Not_Paid*Values_Entered,Ending_Balance,""), "")</f>
        <v/>
      </c>
    </row>
    <row r="260">
      <c r="B260" s="299">
        <f>IFERROR(IF(Loan_Not_Paid*Values_Entered,Payment_Number,""), "")</f>
        <v/>
      </c>
      <c r="C260" s="300">
        <f>IFERROR(IF(Loan_Not_Paid*Values_Entered,Payment_Date,""), "")</f>
        <v/>
      </c>
      <c r="D260" s="1053">
        <f>IFERROR(IF(Loan_Not_Paid*Values_Entered,Beginning_Balance,""), "")</f>
        <v/>
      </c>
      <c r="E260" s="1053">
        <f>IFERROR(IF(Loan_Not_Paid*Values_Entered,Monthly_Payment,""), "")</f>
        <v/>
      </c>
      <c r="F260" s="1053">
        <f>IFERROR(IF(Loan_Not_Paid*Values_Entered,Principal,""), "")</f>
        <v/>
      </c>
      <c r="G260" s="1053">
        <f>IFERROR(IF(Loan_Not_Paid*Values_Entered,Interest,""), "")</f>
        <v/>
      </c>
      <c r="H260" s="1053">
        <f>IFERROR(IF(Loan_Not_Paid*Values_Entered,Ending_Balance,""), "")</f>
        <v/>
      </c>
    </row>
    <row r="261">
      <c r="B261" s="299">
        <f>IFERROR(IF(Loan_Not_Paid*Values_Entered,Payment_Number,""), "")</f>
        <v/>
      </c>
      <c r="C261" s="300">
        <f>IFERROR(IF(Loan_Not_Paid*Values_Entered,Payment_Date,""), "")</f>
        <v/>
      </c>
      <c r="D261" s="1053">
        <f>IFERROR(IF(Loan_Not_Paid*Values_Entered,Beginning_Balance,""), "")</f>
        <v/>
      </c>
      <c r="E261" s="1053">
        <f>IFERROR(IF(Loan_Not_Paid*Values_Entered,Monthly_Payment,""), "")</f>
        <v/>
      </c>
      <c r="F261" s="1053">
        <f>IFERROR(IF(Loan_Not_Paid*Values_Entered,Principal,""), "")</f>
        <v/>
      </c>
      <c r="G261" s="1053">
        <f>IFERROR(IF(Loan_Not_Paid*Values_Entered,Interest,""), "")</f>
        <v/>
      </c>
      <c r="H261" s="1053">
        <f>IFERROR(IF(Loan_Not_Paid*Values_Entered,Ending_Balance,""), "")</f>
        <v/>
      </c>
    </row>
    <row r="262">
      <c r="B262" s="299">
        <f>IFERROR(IF(Loan_Not_Paid*Values_Entered,Payment_Number,""), "")</f>
        <v/>
      </c>
      <c r="C262" s="300">
        <f>IFERROR(IF(Loan_Not_Paid*Values_Entered,Payment_Date,""), "")</f>
        <v/>
      </c>
      <c r="D262" s="1053">
        <f>IFERROR(IF(Loan_Not_Paid*Values_Entered,Beginning_Balance,""), "")</f>
        <v/>
      </c>
      <c r="E262" s="1053">
        <f>IFERROR(IF(Loan_Not_Paid*Values_Entered,Monthly_Payment,""), "")</f>
        <v/>
      </c>
      <c r="F262" s="1053">
        <f>IFERROR(IF(Loan_Not_Paid*Values_Entered,Principal,""), "")</f>
        <v/>
      </c>
      <c r="G262" s="1053">
        <f>IFERROR(IF(Loan_Not_Paid*Values_Entered,Interest,""), "")</f>
        <v/>
      </c>
      <c r="H262" s="1053">
        <f>IFERROR(IF(Loan_Not_Paid*Values_Entered,Ending_Balance,""), "")</f>
        <v/>
      </c>
    </row>
  </sheetData>
  <mergeCells count="21">
    <mergeCell ref="G21:H21"/>
    <mergeCell ref="B23:D23"/>
    <mergeCell ref="B17:D17"/>
    <mergeCell ref="B3:O3"/>
    <mergeCell ref="G23:H23"/>
    <mergeCell ref="G17:H17"/>
    <mergeCell ref="B19:D19"/>
    <mergeCell ref="B16:E16"/>
    <mergeCell ref="G19:H19"/>
    <mergeCell ref="G18:H18"/>
    <mergeCell ref="B24:D24"/>
    <mergeCell ref="B20:D20"/>
    <mergeCell ref="G24:H24"/>
    <mergeCell ref="B25:D25"/>
    <mergeCell ref="B5:H8"/>
    <mergeCell ref="G20:H20"/>
    <mergeCell ref="G16:H16"/>
    <mergeCell ref="B22:D22"/>
    <mergeCell ref="B18:D18"/>
    <mergeCell ref="B21:D21"/>
    <mergeCell ref="G22:H22"/>
  </mergeCells>
  <conditionalFormatting sqref="B27:B262">
    <cfRule type="expression" priority="22" dxfId="3" stopIfTrue="1">
      <formula>NOT(Loan_Not_Paid)</formula>
    </cfRule>
    <cfRule type="expression" priority="23" dxfId="13" stopIfTrue="1">
      <formula>IF(ROW(B27)=Last_Row,TRUE,FALSE)</formula>
    </cfRule>
  </conditionalFormatting>
  <conditionalFormatting sqref="C27:G262">
    <cfRule type="expression" priority="20" dxfId="3" stopIfTrue="1">
      <formula>NOT(Loan_Not_Paid)</formula>
    </cfRule>
    <cfRule type="expression" priority="21" dxfId="11" stopIfTrue="1">
      <formula>IF(ROW(C27)=Last_Row,TRUE,FALSE)</formula>
    </cfRule>
  </conditionalFormatting>
  <conditionalFormatting sqref="G23">
    <cfRule type="expression" priority="5" dxfId="10">
      <formula>ISBLANK($G$20)</formula>
    </cfRule>
  </conditionalFormatting>
  <conditionalFormatting sqref="G19:H19">
    <cfRule type="expression" priority="7" dxfId="9">
      <formula>ISBLANK($G$18)</formula>
    </cfRule>
  </conditionalFormatting>
  <conditionalFormatting sqref="G20:H20">
    <cfRule type="expression" priority="1" dxfId="7">
      <formula>$G$18="No"</formula>
    </cfRule>
    <cfRule type="expression" priority="2" dxfId="7">
      <formula>ISBLANK($G$18)</formula>
    </cfRule>
  </conditionalFormatting>
  <conditionalFormatting sqref="G21:H21">
    <cfRule type="expression" priority="3" dxfId="6">
      <formula>ISBLANK($G$20)</formula>
    </cfRule>
  </conditionalFormatting>
  <conditionalFormatting sqref="G22:H22">
    <cfRule type="expression" priority="14" dxfId="4">
      <formula>ISBLANK($G$20)</formula>
    </cfRule>
  </conditionalFormatting>
  <conditionalFormatting sqref="G24:H24">
    <cfRule type="expression" priority="4" dxfId="4">
      <formula>ISBLANK($G$20)</formula>
    </cfRule>
  </conditionalFormatting>
  <conditionalFormatting sqref="H27:H262">
    <cfRule type="expression" priority="24" dxfId="3" stopIfTrue="1">
      <formula>NOT(Loan_Not_Paid)</formula>
    </cfRule>
    <cfRule type="expression" priority="25" dxfId="2" stopIfTrue="1">
      <formula>IF(ROW(H27)=Last_Row,TRUE,FALSE)</formula>
    </cfRule>
  </conditionalFormatting>
  <dataValidations xWindow="468" yWindow="413" count="26">
    <dataValidation sqref="A4:A7 B3:O3 B5:B10 B15 B18:D18 C5:D10 C15:G15 E5:G12 E13:E14 G17 G19:G20 G21:G22 H5:H15" showDropDown="0" showInputMessage="0" showErrorMessage="1" allowBlank="1"/>
    <dataValidation sqref="B17:D17" showDropDown="0" showInputMessage="1" showErrorMessage="1" allowBlank="1" prompt="Enter Loan amount in cell at right"/>
    <dataValidation sqref="E17" showDropDown="0" showInputMessage="1" showErrorMessage="1" allowBlank="1" prompt="Enter Loan amount in this cell"/>
    <dataValidation sqref="B19:D19" showDropDown="0" showInputMessage="1" showErrorMessage="1" allowBlank="1" prompt="Enter Loan period in years in cell at right"/>
    <dataValidation sqref="E19" showDropDown="0" showInputMessage="1" showErrorMessage="1" allowBlank="1" prompt="Enter Loan period 12 to 60 months in this cell" type="whole">
      <formula1>12</formula1>
      <formula2>60</formula2>
    </dataValidation>
    <dataValidation sqref="B20:D20" showDropDown="0" showInputMessage="1" showErrorMessage="1" allowBlank="1" prompt="Enter Start date of loan in cell at right"/>
    <dataValidation sqref="E20" showDropDown="0" showInputMessage="1" showErrorMessage="1" allowBlank="1" prompt="Enter Start date of loan in this cell"/>
    <dataValidation sqref="B21:D21" showDropDown="0" showInputMessage="1" showErrorMessage="1" allowBlank="1" prompt="Monthly payment is automatically calculated in cell at right"/>
    <dataValidation sqref="E21" showDropDown="0" showInputMessage="1" showErrorMessage="1" allowBlank="1" prompt="Monthly payment is automatically calculated in this cell"/>
    <dataValidation sqref="B22:D22" showDropDown="0" showInputMessage="1" showErrorMessage="1" allowBlank="1" prompt="Number of payments is automatically calculated in cell at right"/>
    <dataValidation sqref="E22" showDropDown="0" showInputMessage="1" showErrorMessage="1" allowBlank="1" prompt="Number of payments is automatically calculated in this cell"/>
    <dataValidation sqref="B23:D23" showDropDown="0" showInputMessage="1" showErrorMessage="1" allowBlank="1" prompt="Total interest is automatically calculated in cell at right"/>
    <dataValidation sqref="E23" showDropDown="0" showInputMessage="1" showErrorMessage="1" allowBlank="1" prompt="Total interest is automatically calculated in this cell"/>
    <dataValidation sqref="B24:D25" showDropDown="0" showInputMessage="1" showErrorMessage="1" allowBlank="1" prompt="Total cost of loan is automatically calculated in cell at right"/>
    <dataValidation sqref="E24" showDropDown="0" showInputMessage="1" showErrorMessage="1" allowBlank="1" prompt="Total cost of loan is automatically calculated in this cell"/>
    <dataValidation sqref="B16" showDropDown="0" showInputMessage="1" showErrorMessage="1" allowBlank="1" prompt="Enter values in cells E3 through E6 for each description in column B. Values in cells E8 through E11 are automatically calculated"/>
    <dataValidation sqref="B26" showDropDown="0" showInputMessage="1" showErrorMessage="1" allowBlank="1" prompt="Payment Number is automatically updated in this column under this heading"/>
    <dataValidation sqref="C26" showDropDown="0" showInputMessage="1" showErrorMessage="1" allowBlank="1" prompt="Payment Date is automatically updated in this column under this heading"/>
    <dataValidation sqref="D26" showDropDown="0" showInputMessage="1" showErrorMessage="1" allowBlank="1" prompt="Beginning Balance is automatically calculated in this column under this heading"/>
    <dataValidation sqref="E26" showDropDown="0" showInputMessage="1" showErrorMessage="1" allowBlank="1" prompt="Payment amount is automatically calculated in this column under this heading"/>
    <dataValidation sqref="F26" showDropDown="0" showInputMessage="1" showErrorMessage="1" allowBlank="1" prompt="Principal amount is automatically updated in this column under this heading"/>
    <dataValidation sqref="G26" showDropDown="0" showInputMessage="1" showErrorMessage="1" allowBlank="1" prompt="Interest amount is automatically updated in this column under this heading"/>
    <dataValidation sqref="H26" showDropDown="0" showInputMessage="1" showErrorMessage="1" allowBlank="1" prompt="Ending Balance is automatically updated in this column under this heading"/>
    <dataValidation sqref="E18" showDropDown="0" showInputMessage="1" showErrorMessage="1" allowBlank="1" prompt="Enter Annual interest rate in this cell"/>
    <dataValidation sqref="A8:A15" showDropDown="0" showInputMessage="0" showErrorMessage="1" allowBlank="1" prompt="Create a loan repayment schedule using this Loan calculator and amortisation worksheet. Total interest and total payments are automatically calculated"/>
    <dataValidation sqref="G18:H18" showDropDown="0" showInputMessage="0" showErrorMessage="1" allowBlank="1" prompt="Please select from the dropdown menu" type="list">
      <formula1>$K$18:$K$20</formula1>
    </dataValidation>
  </dataValidations>
  <printOptions horizontalCentered="1"/>
  <pageMargins left="0.5" right="0.5" top="1" bottom="1" header="0.5" footer="0.5"/>
  <pageSetup orientation="portrait" paperSize="9" scale="97" fitToHeight="0"/>
  <headerFooter differentFirst="1">
    <oddHeader/>
    <oddFooter>&amp;L&amp;C&amp;R</oddFooter>
    <evenHeader/>
    <evenFooter/>
    <firstHeader/>
    <firstFooter/>
  </headerFooter>
  <rowBreaks count="6" manualBreakCount="6">
    <brk id="46" min="0" max="16383" man="1"/>
    <brk id="85" min="0" max="16383" man="1"/>
    <brk id="124" min="0" max="16383" man="1"/>
    <brk id="163" min="0" max="16383" man="1"/>
    <brk id="202" min="0" max="16383" man="1"/>
    <brk id="241" min="0" max="16383" man="1"/>
  </rowBreaks>
  <drawing xmlns:r="http://schemas.openxmlformats.org/officeDocument/2006/relationships" r:id="rId1"/>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codeName="Sheet3">
    <tabColor theme="8"/>
    <outlinePr summaryBelow="1" summaryRight="1"/>
    <pageSetUpPr/>
  </sheetPr>
  <dimension ref="A1:S77"/>
  <sheetViews>
    <sheetView showGridLines="0" zoomScale="90" zoomScaleNormal="90" zoomScaleSheetLayoutView="100" workbookViewId="0">
      <selection activeCell="E25" sqref="E25"/>
    </sheetView>
  </sheetViews>
  <sheetFormatPr baseColWidth="8" defaultColWidth="11.33203125" defaultRowHeight="14"/>
  <cols>
    <col width="4.58203125" customWidth="1" style="225" min="1" max="1"/>
    <col width="38.58203125" customWidth="1" style="227" min="2" max="2"/>
    <col width="35.83203125" customWidth="1" style="227" min="3" max="3"/>
    <col width="7.58203125" customWidth="1" style="227" min="4" max="4"/>
    <col width="32.08203125" customWidth="1" style="227" min="5" max="5"/>
    <col width="5.33203125" customWidth="1" style="227" min="6" max="6"/>
    <col width="29.58203125" customWidth="1" style="227" min="7" max="7"/>
    <col width="4.58203125" customWidth="1" style="225" min="8" max="8"/>
    <col width="11.58203125" customWidth="1" style="227" min="9" max="17"/>
    <col width="5.83203125" customWidth="1" style="227" min="18" max="18"/>
    <col width="14" customWidth="1" style="227" min="19" max="19"/>
    <col width="2.58203125" customWidth="1" style="227" min="20" max="20"/>
    <col width="11.33203125" customWidth="1" style="227" min="21" max="255"/>
    <col width="5.08203125" customWidth="1" style="227" min="256" max="256"/>
    <col width="41.08203125" customWidth="1" style="227" min="257" max="257"/>
    <col width="10" customWidth="1" style="227" min="258" max="258"/>
    <col width="11.5" customWidth="1" style="227" min="259" max="259"/>
    <col width="11.58203125" customWidth="1" style="227" min="260" max="260"/>
    <col width="12.33203125" customWidth="1" style="227" min="261" max="261"/>
    <col width="12.08203125" customWidth="1" style="227" min="262" max="262"/>
    <col width="12.5" customWidth="1" style="227" min="263" max="263"/>
    <col width="11.08203125" customWidth="1" style="227" min="264" max="264"/>
    <col width="11.33203125" customWidth="1" style="227" min="265" max="511"/>
    <col width="5.08203125" customWidth="1" style="227" min="512" max="512"/>
    <col width="41.08203125" customWidth="1" style="227" min="513" max="513"/>
    <col width="10" customWidth="1" style="227" min="514" max="514"/>
    <col width="11.5" customWidth="1" style="227" min="515" max="515"/>
    <col width="11.58203125" customWidth="1" style="227" min="516" max="516"/>
    <col width="12.33203125" customWidth="1" style="227" min="517" max="517"/>
    <col width="12.08203125" customWidth="1" style="227" min="518" max="518"/>
    <col width="12.5" customWidth="1" style="227" min="519" max="519"/>
    <col width="11.08203125" customWidth="1" style="227" min="520" max="520"/>
    <col width="11.33203125" customWidth="1" style="227" min="521" max="767"/>
    <col width="5.08203125" customWidth="1" style="227" min="768" max="768"/>
    <col width="41.08203125" customWidth="1" style="227" min="769" max="769"/>
    <col width="10" customWidth="1" style="227" min="770" max="770"/>
    <col width="11.5" customWidth="1" style="227" min="771" max="771"/>
    <col width="11.58203125" customWidth="1" style="227" min="772" max="772"/>
    <col width="12.33203125" customWidth="1" style="227" min="773" max="773"/>
    <col width="12.08203125" customWidth="1" style="227" min="774" max="774"/>
    <col width="12.5" customWidth="1" style="227" min="775" max="775"/>
    <col width="11.08203125" customWidth="1" style="227" min="776" max="776"/>
    <col width="11.33203125" customWidth="1" style="227" min="777" max="1023"/>
    <col width="5.08203125" customWidth="1" style="227" min="1024" max="1024"/>
    <col width="41.08203125" customWidth="1" style="227" min="1025" max="1025"/>
    <col width="10" customWidth="1" style="227" min="1026" max="1026"/>
    <col width="11.5" customWidth="1" style="227" min="1027" max="1027"/>
    <col width="11.58203125" customWidth="1" style="227" min="1028" max="1028"/>
    <col width="12.33203125" customWidth="1" style="227" min="1029" max="1029"/>
    <col width="12.08203125" customWidth="1" style="227" min="1030" max="1030"/>
    <col width="12.5" customWidth="1" style="227" min="1031" max="1031"/>
    <col width="11.08203125" customWidth="1" style="227" min="1032" max="1032"/>
    <col width="11.33203125" customWidth="1" style="227" min="1033" max="1279"/>
    <col width="5.08203125" customWidth="1" style="227" min="1280" max="1280"/>
    <col width="41.08203125" customWidth="1" style="227" min="1281" max="1281"/>
    <col width="10" customWidth="1" style="227" min="1282" max="1282"/>
    <col width="11.5" customWidth="1" style="227" min="1283" max="1283"/>
    <col width="11.58203125" customWidth="1" style="227" min="1284" max="1284"/>
    <col width="12.33203125" customWidth="1" style="227" min="1285" max="1285"/>
    <col width="12.08203125" customWidth="1" style="227" min="1286" max="1286"/>
    <col width="12.5" customWidth="1" style="227" min="1287" max="1287"/>
    <col width="11.08203125" customWidth="1" style="227" min="1288" max="1288"/>
    <col width="11.33203125" customWidth="1" style="227" min="1289" max="1535"/>
    <col width="5.08203125" customWidth="1" style="227" min="1536" max="1536"/>
    <col width="41.08203125" customWidth="1" style="227" min="1537" max="1537"/>
    <col width="10" customWidth="1" style="227" min="1538" max="1538"/>
    <col width="11.5" customWidth="1" style="227" min="1539" max="1539"/>
    <col width="11.58203125" customWidth="1" style="227" min="1540" max="1540"/>
    <col width="12.33203125" customWidth="1" style="227" min="1541" max="1541"/>
    <col width="12.08203125" customWidth="1" style="227" min="1542" max="1542"/>
    <col width="12.5" customWidth="1" style="227" min="1543" max="1543"/>
    <col width="11.08203125" customWidth="1" style="227" min="1544" max="1544"/>
    <col width="11.33203125" customWidth="1" style="227" min="1545" max="1791"/>
    <col width="5.08203125" customWidth="1" style="227" min="1792" max="1792"/>
    <col width="41.08203125" customWidth="1" style="227" min="1793" max="1793"/>
    <col width="10" customWidth="1" style="227" min="1794" max="1794"/>
    <col width="11.5" customWidth="1" style="227" min="1795" max="1795"/>
    <col width="11.58203125" customWidth="1" style="227" min="1796" max="1796"/>
    <col width="12.33203125" customWidth="1" style="227" min="1797" max="1797"/>
    <col width="12.08203125" customWidth="1" style="227" min="1798" max="1798"/>
    <col width="12.5" customWidth="1" style="227" min="1799" max="1799"/>
    <col width="11.08203125" customWidth="1" style="227" min="1800" max="1800"/>
    <col width="11.33203125" customWidth="1" style="227" min="1801" max="2047"/>
    <col width="5.08203125" customWidth="1" style="227" min="2048" max="2048"/>
    <col width="41.08203125" customWidth="1" style="227" min="2049" max="2049"/>
    <col width="10" customWidth="1" style="227" min="2050" max="2050"/>
    <col width="11.5" customWidth="1" style="227" min="2051" max="2051"/>
    <col width="11.58203125" customWidth="1" style="227" min="2052" max="2052"/>
    <col width="12.33203125" customWidth="1" style="227" min="2053" max="2053"/>
    <col width="12.08203125" customWidth="1" style="227" min="2054" max="2054"/>
    <col width="12.5" customWidth="1" style="227" min="2055" max="2055"/>
    <col width="11.08203125" customWidth="1" style="227" min="2056" max="2056"/>
    <col width="11.33203125" customWidth="1" style="227" min="2057" max="2303"/>
    <col width="5.08203125" customWidth="1" style="227" min="2304" max="2304"/>
    <col width="41.08203125" customWidth="1" style="227" min="2305" max="2305"/>
    <col width="10" customWidth="1" style="227" min="2306" max="2306"/>
    <col width="11.5" customWidth="1" style="227" min="2307" max="2307"/>
    <col width="11.58203125" customWidth="1" style="227" min="2308" max="2308"/>
    <col width="12.33203125" customWidth="1" style="227" min="2309" max="2309"/>
    <col width="12.08203125" customWidth="1" style="227" min="2310" max="2310"/>
    <col width="12.5" customWidth="1" style="227" min="2311" max="2311"/>
    <col width="11.08203125" customWidth="1" style="227" min="2312" max="2312"/>
    <col width="11.33203125" customWidth="1" style="227" min="2313" max="2559"/>
    <col width="5.08203125" customWidth="1" style="227" min="2560" max="2560"/>
    <col width="41.08203125" customWidth="1" style="227" min="2561" max="2561"/>
    <col width="10" customWidth="1" style="227" min="2562" max="2562"/>
    <col width="11.5" customWidth="1" style="227" min="2563" max="2563"/>
    <col width="11.58203125" customWidth="1" style="227" min="2564" max="2564"/>
    <col width="12.33203125" customWidth="1" style="227" min="2565" max="2565"/>
    <col width="12.08203125" customWidth="1" style="227" min="2566" max="2566"/>
    <col width="12.5" customWidth="1" style="227" min="2567" max="2567"/>
    <col width="11.08203125" customWidth="1" style="227" min="2568" max="2568"/>
    <col width="11.33203125" customWidth="1" style="227" min="2569" max="2815"/>
    <col width="5.08203125" customWidth="1" style="227" min="2816" max="2816"/>
    <col width="41.08203125" customWidth="1" style="227" min="2817" max="2817"/>
    <col width="10" customWidth="1" style="227" min="2818" max="2818"/>
    <col width="11.5" customWidth="1" style="227" min="2819" max="2819"/>
    <col width="11.58203125" customWidth="1" style="227" min="2820" max="2820"/>
    <col width="12.33203125" customWidth="1" style="227" min="2821" max="2821"/>
    <col width="12.08203125" customWidth="1" style="227" min="2822" max="2822"/>
    <col width="12.5" customWidth="1" style="227" min="2823" max="2823"/>
    <col width="11.08203125" customWidth="1" style="227" min="2824" max="2824"/>
    <col width="11.33203125" customWidth="1" style="227" min="2825" max="3071"/>
    <col width="5.08203125" customWidth="1" style="227" min="3072" max="3072"/>
    <col width="41.08203125" customWidth="1" style="227" min="3073" max="3073"/>
    <col width="10" customWidth="1" style="227" min="3074" max="3074"/>
    <col width="11.5" customWidth="1" style="227" min="3075" max="3075"/>
    <col width="11.58203125" customWidth="1" style="227" min="3076" max="3076"/>
    <col width="12.33203125" customWidth="1" style="227" min="3077" max="3077"/>
    <col width="12.08203125" customWidth="1" style="227" min="3078" max="3078"/>
    <col width="12.5" customWidth="1" style="227" min="3079" max="3079"/>
    <col width="11.08203125" customWidth="1" style="227" min="3080" max="3080"/>
    <col width="11.33203125" customWidth="1" style="227" min="3081" max="3327"/>
    <col width="5.08203125" customWidth="1" style="227" min="3328" max="3328"/>
    <col width="41.08203125" customWidth="1" style="227" min="3329" max="3329"/>
    <col width="10" customWidth="1" style="227" min="3330" max="3330"/>
    <col width="11.5" customWidth="1" style="227" min="3331" max="3331"/>
    <col width="11.58203125" customWidth="1" style="227" min="3332" max="3332"/>
    <col width="12.33203125" customWidth="1" style="227" min="3333" max="3333"/>
    <col width="12.08203125" customWidth="1" style="227" min="3334" max="3334"/>
    <col width="12.5" customWidth="1" style="227" min="3335" max="3335"/>
    <col width="11.08203125" customWidth="1" style="227" min="3336" max="3336"/>
    <col width="11.33203125" customWidth="1" style="227" min="3337" max="3583"/>
    <col width="5.08203125" customWidth="1" style="227" min="3584" max="3584"/>
    <col width="41.08203125" customWidth="1" style="227" min="3585" max="3585"/>
    <col width="10" customWidth="1" style="227" min="3586" max="3586"/>
    <col width="11.5" customWidth="1" style="227" min="3587" max="3587"/>
    <col width="11.58203125" customWidth="1" style="227" min="3588" max="3588"/>
    <col width="12.33203125" customWidth="1" style="227" min="3589" max="3589"/>
    <col width="12.08203125" customWidth="1" style="227" min="3590" max="3590"/>
    <col width="12.5" customWidth="1" style="227" min="3591" max="3591"/>
    <col width="11.08203125" customWidth="1" style="227" min="3592" max="3592"/>
    <col width="11.33203125" customWidth="1" style="227" min="3593" max="3839"/>
    <col width="5.08203125" customWidth="1" style="227" min="3840" max="3840"/>
    <col width="41.08203125" customWidth="1" style="227" min="3841" max="3841"/>
    <col width="10" customWidth="1" style="227" min="3842" max="3842"/>
    <col width="11.5" customWidth="1" style="227" min="3843" max="3843"/>
    <col width="11.58203125" customWidth="1" style="227" min="3844" max="3844"/>
    <col width="12.33203125" customWidth="1" style="227" min="3845" max="3845"/>
    <col width="12.08203125" customWidth="1" style="227" min="3846" max="3846"/>
    <col width="12.5" customWidth="1" style="227" min="3847" max="3847"/>
    <col width="11.08203125" customWidth="1" style="227" min="3848" max="3848"/>
    <col width="11.33203125" customWidth="1" style="227" min="3849" max="4095"/>
    <col width="5.08203125" customWidth="1" style="227" min="4096" max="4096"/>
    <col width="41.08203125" customWidth="1" style="227" min="4097" max="4097"/>
    <col width="10" customWidth="1" style="227" min="4098" max="4098"/>
    <col width="11.5" customWidth="1" style="227" min="4099" max="4099"/>
    <col width="11.58203125" customWidth="1" style="227" min="4100" max="4100"/>
    <col width="12.33203125" customWidth="1" style="227" min="4101" max="4101"/>
    <col width="12.08203125" customWidth="1" style="227" min="4102" max="4102"/>
    <col width="12.5" customWidth="1" style="227" min="4103" max="4103"/>
    <col width="11.08203125" customWidth="1" style="227" min="4104" max="4104"/>
    <col width="11.33203125" customWidth="1" style="227" min="4105" max="4351"/>
    <col width="5.08203125" customWidth="1" style="227" min="4352" max="4352"/>
    <col width="41.08203125" customWidth="1" style="227" min="4353" max="4353"/>
    <col width="10" customWidth="1" style="227" min="4354" max="4354"/>
    <col width="11.5" customWidth="1" style="227" min="4355" max="4355"/>
    <col width="11.58203125" customWidth="1" style="227" min="4356" max="4356"/>
    <col width="12.33203125" customWidth="1" style="227" min="4357" max="4357"/>
    <col width="12.08203125" customWidth="1" style="227" min="4358" max="4358"/>
    <col width="12.5" customWidth="1" style="227" min="4359" max="4359"/>
    <col width="11.08203125" customWidth="1" style="227" min="4360" max="4360"/>
    <col width="11.33203125" customWidth="1" style="227" min="4361" max="4607"/>
    <col width="5.08203125" customWidth="1" style="227" min="4608" max="4608"/>
    <col width="41.08203125" customWidth="1" style="227" min="4609" max="4609"/>
    <col width="10" customWidth="1" style="227" min="4610" max="4610"/>
    <col width="11.5" customWidth="1" style="227" min="4611" max="4611"/>
    <col width="11.58203125" customWidth="1" style="227" min="4612" max="4612"/>
    <col width="12.33203125" customWidth="1" style="227" min="4613" max="4613"/>
    <col width="12.08203125" customWidth="1" style="227" min="4614" max="4614"/>
    <col width="12.5" customWidth="1" style="227" min="4615" max="4615"/>
    <col width="11.08203125" customWidth="1" style="227" min="4616" max="4616"/>
    <col width="11.33203125" customWidth="1" style="227" min="4617" max="4863"/>
    <col width="5.08203125" customWidth="1" style="227" min="4864" max="4864"/>
    <col width="41.08203125" customWidth="1" style="227" min="4865" max="4865"/>
    <col width="10" customWidth="1" style="227" min="4866" max="4866"/>
    <col width="11.5" customWidth="1" style="227" min="4867" max="4867"/>
    <col width="11.58203125" customWidth="1" style="227" min="4868" max="4868"/>
    <col width="12.33203125" customWidth="1" style="227" min="4869" max="4869"/>
    <col width="12.08203125" customWidth="1" style="227" min="4870" max="4870"/>
    <col width="12.5" customWidth="1" style="227" min="4871" max="4871"/>
    <col width="11.08203125" customWidth="1" style="227" min="4872" max="4872"/>
    <col width="11.33203125" customWidth="1" style="227" min="4873" max="5119"/>
    <col width="5.08203125" customWidth="1" style="227" min="5120" max="5120"/>
    <col width="41.08203125" customWidth="1" style="227" min="5121" max="5121"/>
    <col width="10" customWidth="1" style="227" min="5122" max="5122"/>
    <col width="11.5" customWidth="1" style="227" min="5123" max="5123"/>
    <col width="11.58203125" customWidth="1" style="227" min="5124" max="5124"/>
    <col width="12.33203125" customWidth="1" style="227" min="5125" max="5125"/>
    <col width="12.08203125" customWidth="1" style="227" min="5126" max="5126"/>
    <col width="12.5" customWidth="1" style="227" min="5127" max="5127"/>
    <col width="11.08203125" customWidth="1" style="227" min="5128" max="5128"/>
    <col width="11.33203125" customWidth="1" style="227" min="5129" max="5375"/>
    <col width="5.08203125" customWidth="1" style="227" min="5376" max="5376"/>
    <col width="41.08203125" customWidth="1" style="227" min="5377" max="5377"/>
    <col width="10" customWidth="1" style="227" min="5378" max="5378"/>
    <col width="11.5" customWidth="1" style="227" min="5379" max="5379"/>
    <col width="11.58203125" customWidth="1" style="227" min="5380" max="5380"/>
    <col width="12.33203125" customWidth="1" style="227" min="5381" max="5381"/>
    <col width="12.08203125" customWidth="1" style="227" min="5382" max="5382"/>
    <col width="12.5" customWidth="1" style="227" min="5383" max="5383"/>
    <col width="11.08203125" customWidth="1" style="227" min="5384" max="5384"/>
    <col width="11.33203125" customWidth="1" style="227" min="5385" max="5631"/>
    <col width="5.08203125" customWidth="1" style="227" min="5632" max="5632"/>
    <col width="41.08203125" customWidth="1" style="227" min="5633" max="5633"/>
    <col width="10" customWidth="1" style="227" min="5634" max="5634"/>
    <col width="11.5" customWidth="1" style="227" min="5635" max="5635"/>
    <col width="11.58203125" customWidth="1" style="227" min="5636" max="5636"/>
    <col width="12.33203125" customWidth="1" style="227" min="5637" max="5637"/>
    <col width="12.08203125" customWidth="1" style="227" min="5638" max="5638"/>
    <col width="12.5" customWidth="1" style="227" min="5639" max="5639"/>
    <col width="11.08203125" customWidth="1" style="227" min="5640" max="5640"/>
    <col width="11.33203125" customWidth="1" style="227" min="5641" max="5887"/>
    <col width="5.08203125" customWidth="1" style="227" min="5888" max="5888"/>
    <col width="41.08203125" customWidth="1" style="227" min="5889" max="5889"/>
    <col width="10" customWidth="1" style="227" min="5890" max="5890"/>
    <col width="11.5" customWidth="1" style="227" min="5891" max="5891"/>
    <col width="11.58203125" customWidth="1" style="227" min="5892" max="5892"/>
    <col width="12.33203125" customWidth="1" style="227" min="5893" max="5893"/>
    <col width="12.08203125" customWidth="1" style="227" min="5894" max="5894"/>
    <col width="12.5" customWidth="1" style="227" min="5895" max="5895"/>
    <col width="11.08203125" customWidth="1" style="227" min="5896" max="5896"/>
    <col width="11.33203125" customWidth="1" style="227" min="5897" max="6143"/>
    <col width="5.08203125" customWidth="1" style="227" min="6144" max="6144"/>
    <col width="41.08203125" customWidth="1" style="227" min="6145" max="6145"/>
    <col width="10" customWidth="1" style="227" min="6146" max="6146"/>
    <col width="11.5" customWidth="1" style="227" min="6147" max="6147"/>
    <col width="11.58203125" customWidth="1" style="227" min="6148" max="6148"/>
    <col width="12.33203125" customWidth="1" style="227" min="6149" max="6149"/>
    <col width="12.08203125" customWidth="1" style="227" min="6150" max="6150"/>
    <col width="12.5" customWidth="1" style="227" min="6151" max="6151"/>
    <col width="11.08203125" customWidth="1" style="227" min="6152" max="6152"/>
    <col width="11.33203125" customWidth="1" style="227" min="6153" max="6399"/>
    <col width="5.08203125" customWidth="1" style="227" min="6400" max="6400"/>
    <col width="41.08203125" customWidth="1" style="227" min="6401" max="6401"/>
    <col width="10" customWidth="1" style="227" min="6402" max="6402"/>
    <col width="11.5" customWidth="1" style="227" min="6403" max="6403"/>
    <col width="11.58203125" customWidth="1" style="227" min="6404" max="6404"/>
    <col width="12.33203125" customWidth="1" style="227" min="6405" max="6405"/>
    <col width="12.08203125" customWidth="1" style="227" min="6406" max="6406"/>
    <col width="12.5" customWidth="1" style="227" min="6407" max="6407"/>
    <col width="11.08203125" customWidth="1" style="227" min="6408" max="6408"/>
    <col width="11.33203125" customWidth="1" style="227" min="6409" max="6655"/>
    <col width="5.08203125" customWidth="1" style="227" min="6656" max="6656"/>
    <col width="41.08203125" customWidth="1" style="227" min="6657" max="6657"/>
    <col width="10" customWidth="1" style="227" min="6658" max="6658"/>
    <col width="11.5" customWidth="1" style="227" min="6659" max="6659"/>
    <col width="11.58203125" customWidth="1" style="227" min="6660" max="6660"/>
    <col width="12.33203125" customWidth="1" style="227" min="6661" max="6661"/>
    <col width="12.08203125" customWidth="1" style="227" min="6662" max="6662"/>
    <col width="12.5" customWidth="1" style="227" min="6663" max="6663"/>
    <col width="11.08203125" customWidth="1" style="227" min="6664" max="6664"/>
    <col width="11.33203125" customWidth="1" style="227" min="6665" max="6911"/>
    <col width="5.08203125" customWidth="1" style="227" min="6912" max="6912"/>
    <col width="41.08203125" customWidth="1" style="227" min="6913" max="6913"/>
    <col width="10" customWidth="1" style="227" min="6914" max="6914"/>
    <col width="11.5" customWidth="1" style="227" min="6915" max="6915"/>
    <col width="11.58203125" customWidth="1" style="227" min="6916" max="6916"/>
    <col width="12.33203125" customWidth="1" style="227" min="6917" max="6917"/>
    <col width="12.08203125" customWidth="1" style="227" min="6918" max="6918"/>
    <col width="12.5" customWidth="1" style="227" min="6919" max="6919"/>
    <col width="11.08203125" customWidth="1" style="227" min="6920" max="6920"/>
    <col width="11.33203125" customWidth="1" style="227" min="6921" max="7167"/>
    <col width="5.08203125" customWidth="1" style="227" min="7168" max="7168"/>
    <col width="41.08203125" customWidth="1" style="227" min="7169" max="7169"/>
    <col width="10" customWidth="1" style="227" min="7170" max="7170"/>
    <col width="11.5" customWidth="1" style="227" min="7171" max="7171"/>
    <col width="11.58203125" customWidth="1" style="227" min="7172" max="7172"/>
    <col width="12.33203125" customWidth="1" style="227" min="7173" max="7173"/>
    <col width="12.08203125" customWidth="1" style="227" min="7174" max="7174"/>
    <col width="12.5" customWidth="1" style="227" min="7175" max="7175"/>
    <col width="11.08203125" customWidth="1" style="227" min="7176" max="7176"/>
    <col width="11.33203125" customWidth="1" style="227" min="7177" max="7423"/>
    <col width="5.08203125" customWidth="1" style="227" min="7424" max="7424"/>
    <col width="41.08203125" customWidth="1" style="227" min="7425" max="7425"/>
    <col width="10" customWidth="1" style="227" min="7426" max="7426"/>
    <col width="11.5" customWidth="1" style="227" min="7427" max="7427"/>
    <col width="11.58203125" customWidth="1" style="227" min="7428" max="7428"/>
    <col width="12.33203125" customWidth="1" style="227" min="7429" max="7429"/>
    <col width="12.08203125" customWidth="1" style="227" min="7430" max="7430"/>
    <col width="12.5" customWidth="1" style="227" min="7431" max="7431"/>
    <col width="11.08203125" customWidth="1" style="227" min="7432" max="7432"/>
    <col width="11.33203125" customWidth="1" style="227" min="7433" max="7679"/>
    <col width="5.08203125" customWidth="1" style="227" min="7680" max="7680"/>
    <col width="41.08203125" customWidth="1" style="227" min="7681" max="7681"/>
    <col width="10" customWidth="1" style="227" min="7682" max="7682"/>
    <col width="11.5" customWidth="1" style="227" min="7683" max="7683"/>
    <col width="11.58203125" customWidth="1" style="227" min="7684" max="7684"/>
    <col width="12.33203125" customWidth="1" style="227" min="7685" max="7685"/>
    <col width="12.08203125" customWidth="1" style="227" min="7686" max="7686"/>
    <col width="12.5" customWidth="1" style="227" min="7687" max="7687"/>
    <col width="11.08203125" customWidth="1" style="227" min="7688" max="7688"/>
    <col width="11.33203125" customWidth="1" style="227" min="7689" max="7935"/>
    <col width="5.08203125" customWidth="1" style="227" min="7936" max="7936"/>
    <col width="41.08203125" customWidth="1" style="227" min="7937" max="7937"/>
    <col width="10" customWidth="1" style="227" min="7938" max="7938"/>
    <col width="11.5" customWidth="1" style="227" min="7939" max="7939"/>
    <col width="11.58203125" customWidth="1" style="227" min="7940" max="7940"/>
    <col width="12.33203125" customWidth="1" style="227" min="7941" max="7941"/>
    <col width="12.08203125" customWidth="1" style="227" min="7942" max="7942"/>
    <col width="12.5" customWidth="1" style="227" min="7943" max="7943"/>
    <col width="11.08203125" customWidth="1" style="227" min="7944" max="7944"/>
    <col width="11.33203125" customWidth="1" style="227" min="7945" max="8191"/>
    <col width="5.08203125" customWidth="1" style="227" min="8192" max="8192"/>
    <col width="41.08203125" customWidth="1" style="227" min="8193" max="8193"/>
    <col width="10" customWidth="1" style="227" min="8194" max="8194"/>
    <col width="11.5" customWidth="1" style="227" min="8195" max="8195"/>
    <col width="11.58203125" customWidth="1" style="227" min="8196" max="8196"/>
    <col width="12.33203125" customWidth="1" style="227" min="8197" max="8197"/>
    <col width="12.08203125" customWidth="1" style="227" min="8198" max="8198"/>
    <col width="12.5" customWidth="1" style="227" min="8199" max="8199"/>
    <col width="11.08203125" customWidth="1" style="227" min="8200" max="8200"/>
    <col width="11.33203125" customWidth="1" style="227" min="8201" max="8447"/>
    <col width="5.08203125" customWidth="1" style="227" min="8448" max="8448"/>
    <col width="41.08203125" customWidth="1" style="227" min="8449" max="8449"/>
    <col width="10" customWidth="1" style="227" min="8450" max="8450"/>
    <col width="11.5" customWidth="1" style="227" min="8451" max="8451"/>
    <col width="11.58203125" customWidth="1" style="227" min="8452" max="8452"/>
    <col width="12.33203125" customWidth="1" style="227" min="8453" max="8453"/>
    <col width="12.08203125" customWidth="1" style="227" min="8454" max="8454"/>
    <col width="12.5" customWidth="1" style="227" min="8455" max="8455"/>
    <col width="11.08203125" customWidth="1" style="227" min="8456" max="8456"/>
    <col width="11.33203125" customWidth="1" style="227" min="8457" max="8703"/>
    <col width="5.08203125" customWidth="1" style="227" min="8704" max="8704"/>
    <col width="41.08203125" customWidth="1" style="227" min="8705" max="8705"/>
    <col width="10" customWidth="1" style="227" min="8706" max="8706"/>
    <col width="11.5" customWidth="1" style="227" min="8707" max="8707"/>
    <col width="11.58203125" customWidth="1" style="227" min="8708" max="8708"/>
    <col width="12.33203125" customWidth="1" style="227" min="8709" max="8709"/>
    <col width="12.08203125" customWidth="1" style="227" min="8710" max="8710"/>
    <col width="12.5" customWidth="1" style="227" min="8711" max="8711"/>
    <col width="11.08203125" customWidth="1" style="227" min="8712" max="8712"/>
    <col width="11.33203125" customWidth="1" style="227" min="8713" max="8959"/>
    <col width="5.08203125" customWidth="1" style="227" min="8960" max="8960"/>
    <col width="41.08203125" customWidth="1" style="227" min="8961" max="8961"/>
    <col width="10" customWidth="1" style="227" min="8962" max="8962"/>
    <col width="11.5" customWidth="1" style="227" min="8963" max="8963"/>
    <col width="11.58203125" customWidth="1" style="227" min="8964" max="8964"/>
    <col width="12.33203125" customWidth="1" style="227" min="8965" max="8965"/>
    <col width="12.08203125" customWidth="1" style="227" min="8966" max="8966"/>
    <col width="12.5" customWidth="1" style="227" min="8967" max="8967"/>
    <col width="11.08203125" customWidth="1" style="227" min="8968" max="8968"/>
    <col width="11.33203125" customWidth="1" style="227" min="8969" max="9215"/>
    <col width="5.08203125" customWidth="1" style="227" min="9216" max="9216"/>
    <col width="41.08203125" customWidth="1" style="227" min="9217" max="9217"/>
    <col width="10" customWidth="1" style="227" min="9218" max="9218"/>
    <col width="11.5" customWidth="1" style="227" min="9219" max="9219"/>
    <col width="11.58203125" customWidth="1" style="227" min="9220" max="9220"/>
    <col width="12.33203125" customWidth="1" style="227" min="9221" max="9221"/>
    <col width="12.08203125" customWidth="1" style="227" min="9222" max="9222"/>
    <col width="12.5" customWidth="1" style="227" min="9223" max="9223"/>
    <col width="11.08203125" customWidth="1" style="227" min="9224" max="9224"/>
    <col width="11.33203125" customWidth="1" style="227" min="9225" max="9471"/>
    <col width="5.08203125" customWidth="1" style="227" min="9472" max="9472"/>
    <col width="41.08203125" customWidth="1" style="227" min="9473" max="9473"/>
    <col width="10" customWidth="1" style="227" min="9474" max="9474"/>
    <col width="11.5" customWidth="1" style="227" min="9475" max="9475"/>
    <col width="11.58203125" customWidth="1" style="227" min="9476" max="9476"/>
    <col width="12.33203125" customWidth="1" style="227" min="9477" max="9477"/>
    <col width="12.08203125" customWidth="1" style="227" min="9478" max="9478"/>
    <col width="12.5" customWidth="1" style="227" min="9479" max="9479"/>
    <col width="11.08203125" customWidth="1" style="227" min="9480" max="9480"/>
    <col width="11.33203125" customWidth="1" style="227" min="9481" max="9727"/>
    <col width="5.08203125" customWidth="1" style="227" min="9728" max="9728"/>
    <col width="41.08203125" customWidth="1" style="227" min="9729" max="9729"/>
    <col width="10" customWidth="1" style="227" min="9730" max="9730"/>
    <col width="11.5" customWidth="1" style="227" min="9731" max="9731"/>
    <col width="11.58203125" customWidth="1" style="227" min="9732" max="9732"/>
    <col width="12.33203125" customWidth="1" style="227" min="9733" max="9733"/>
    <col width="12.08203125" customWidth="1" style="227" min="9734" max="9734"/>
    <col width="12.5" customWidth="1" style="227" min="9735" max="9735"/>
    <col width="11.08203125" customWidth="1" style="227" min="9736" max="9736"/>
    <col width="11.33203125" customWidth="1" style="227" min="9737" max="9983"/>
    <col width="5.08203125" customWidth="1" style="227" min="9984" max="9984"/>
    <col width="41.08203125" customWidth="1" style="227" min="9985" max="9985"/>
    <col width="10" customWidth="1" style="227" min="9986" max="9986"/>
    <col width="11.5" customWidth="1" style="227" min="9987" max="9987"/>
    <col width="11.58203125" customWidth="1" style="227" min="9988" max="9988"/>
    <col width="12.33203125" customWidth="1" style="227" min="9989" max="9989"/>
    <col width="12.08203125" customWidth="1" style="227" min="9990" max="9990"/>
    <col width="12.5" customWidth="1" style="227" min="9991" max="9991"/>
    <col width="11.08203125" customWidth="1" style="227" min="9992" max="9992"/>
    <col width="11.33203125" customWidth="1" style="227" min="9993" max="10239"/>
    <col width="5.08203125" customWidth="1" style="227" min="10240" max="10240"/>
    <col width="41.08203125" customWidth="1" style="227" min="10241" max="10241"/>
    <col width="10" customWidth="1" style="227" min="10242" max="10242"/>
    <col width="11.5" customWidth="1" style="227" min="10243" max="10243"/>
    <col width="11.58203125" customWidth="1" style="227" min="10244" max="10244"/>
    <col width="12.33203125" customWidth="1" style="227" min="10245" max="10245"/>
    <col width="12.08203125" customWidth="1" style="227" min="10246" max="10246"/>
    <col width="12.5" customWidth="1" style="227" min="10247" max="10247"/>
    <col width="11.08203125" customWidth="1" style="227" min="10248" max="10248"/>
    <col width="11.33203125" customWidth="1" style="227" min="10249" max="10495"/>
    <col width="5.08203125" customWidth="1" style="227" min="10496" max="10496"/>
    <col width="41.08203125" customWidth="1" style="227" min="10497" max="10497"/>
    <col width="10" customWidth="1" style="227" min="10498" max="10498"/>
    <col width="11.5" customWidth="1" style="227" min="10499" max="10499"/>
    <col width="11.58203125" customWidth="1" style="227" min="10500" max="10500"/>
    <col width="12.33203125" customWidth="1" style="227" min="10501" max="10501"/>
    <col width="12.08203125" customWidth="1" style="227" min="10502" max="10502"/>
    <col width="12.5" customWidth="1" style="227" min="10503" max="10503"/>
    <col width="11.08203125" customWidth="1" style="227" min="10504" max="10504"/>
    <col width="11.33203125" customWidth="1" style="227" min="10505" max="10751"/>
    <col width="5.08203125" customWidth="1" style="227" min="10752" max="10752"/>
    <col width="41.08203125" customWidth="1" style="227" min="10753" max="10753"/>
    <col width="10" customWidth="1" style="227" min="10754" max="10754"/>
    <col width="11.5" customWidth="1" style="227" min="10755" max="10755"/>
    <col width="11.58203125" customWidth="1" style="227" min="10756" max="10756"/>
    <col width="12.33203125" customWidth="1" style="227" min="10757" max="10757"/>
    <col width="12.08203125" customWidth="1" style="227" min="10758" max="10758"/>
    <col width="12.5" customWidth="1" style="227" min="10759" max="10759"/>
    <col width="11.08203125" customWidth="1" style="227" min="10760" max="10760"/>
    <col width="11.33203125" customWidth="1" style="227" min="10761" max="11007"/>
    <col width="5.08203125" customWidth="1" style="227" min="11008" max="11008"/>
    <col width="41.08203125" customWidth="1" style="227" min="11009" max="11009"/>
    <col width="10" customWidth="1" style="227" min="11010" max="11010"/>
    <col width="11.5" customWidth="1" style="227" min="11011" max="11011"/>
    <col width="11.58203125" customWidth="1" style="227" min="11012" max="11012"/>
    <col width="12.33203125" customWidth="1" style="227" min="11013" max="11013"/>
    <col width="12.08203125" customWidth="1" style="227" min="11014" max="11014"/>
    <col width="12.5" customWidth="1" style="227" min="11015" max="11015"/>
    <col width="11.08203125" customWidth="1" style="227" min="11016" max="11016"/>
    <col width="11.33203125" customWidth="1" style="227" min="11017" max="11263"/>
    <col width="5.08203125" customWidth="1" style="227" min="11264" max="11264"/>
    <col width="41.08203125" customWidth="1" style="227" min="11265" max="11265"/>
    <col width="10" customWidth="1" style="227" min="11266" max="11266"/>
    <col width="11.5" customWidth="1" style="227" min="11267" max="11267"/>
    <col width="11.58203125" customWidth="1" style="227" min="11268" max="11268"/>
    <col width="12.33203125" customWidth="1" style="227" min="11269" max="11269"/>
    <col width="12.08203125" customWidth="1" style="227" min="11270" max="11270"/>
    <col width="12.5" customWidth="1" style="227" min="11271" max="11271"/>
    <col width="11.08203125" customWidth="1" style="227" min="11272" max="11272"/>
    <col width="11.33203125" customWidth="1" style="227" min="11273" max="11519"/>
    <col width="5.08203125" customWidth="1" style="227" min="11520" max="11520"/>
    <col width="41.08203125" customWidth="1" style="227" min="11521" max="11521"/>
    <col width="10" customWidth="1" style="227" min="11522" max="11522"/>
    <col width="11.5" customWidth="1" style="227" min="11523" max="11523"/>
    <col width="11.58203125" customWidth="1" style="227" min="11524" max="11524"/>
    <col width="12.33203125" customWidth="1" style="227" min="11525" max="11525"/>
    <col width="12.08203125" customWidth="1" style="227" min="11526" max="11526"/>
    <col width="12.5" customWidth="1" style="227" min="11527" max="11527"/>
    <col width="11.08203125" customWidth="1" style="227" min="11528" max="11528"/>
    <col width="11.33203125" customWidth="1" style="227" min="11529" max="11775"/>
    <col width="5.08203125" customWidth="1" style="227" min="11776" max="11776"/>
    <col width="41.08203125" customWidth="1" style="227" min="11777" max="11777"/>
    <col width="10" customWidth="1" style="227" min="11778" max="11778"/>
    <col width="11.5" customWidth="1" style="227" min="11779" max="11779"/>
    <col width="11.58203125" customWidth="1" style="227" min="11780" max="11780"/>
    <col width="12.33203125" customWidth="1" style="227" min="11781" max="11781"/>
    <col width="12.08203125" customWidth="1" style="227" min="11782" max="11782"/>
    <col width="12.5" customWidth="1" style="227" min="11783" max="11783"/>
    <col width="11.08203125" customWidth="1" style="227" min="11784" max="11784"/>
    <col width="11.33203125" customWidth="1" style="227" min="11785" max="12031"/>
    <col width="5.08203125" customWidth="1" style="227" min="12032" max="12032"/>
    <col width="41.08203125" customWidth="1" style="227" min="12033" max="12033"/>
    <col width="10" customWidth="1" style="227" min="12034" max="12034"/>
    <col width="11.5" customWidth="1" style="227" min="12035" max="12035"/>
    <col width="11.58203125" customWidth="1" style="227" min="12036" max="12036"/>
    <col width="12.33203125" customWidth="1" style="227" min="12037" max="12037"/>
    <col width="12.08203125" customWidth="1" style="227" min="12038" max="12038"/>
    <col width="12.5" customWidth="1" style="227" min="12039" max="12039"/>
    <col width="11.08203125" customWidth="1" style="227" min="12040" max="12040"/>
    <col width="11.33203125" customWidth="1" style="227" min="12041" max="12287"/>
    <col width="5.08203125" customWidth="1" style="227" min="12288" max="12288"/>
    <col width="41.08203125" customWidth="1" style="227" min="12289" max="12289"/>
    <col width="10" customWidth="1" style="227" min="12290" max="12290"/>
    <col width="11.5" customWidth="1" style="227" min="12291" max="12291"/>
    <col width="11.58203125" customWidth="1" style="227" min="12292" max="12292"/>
    <col width="12.33203125" customWidth="1" style="227" min="12293" max="12293"/>
    <col width="12.08203125" customWidth="1" style="227" min="12294" max="12294"/>
    <col width="12.5" customWidth="1" style="227" min="12295" max="12295"/>
    <col width="11.08203125" customWidth="1" style="227" min="12296" max="12296"/>
    <col width="11.33203125" customWidth="1" style="227" min="12297" max="12543"/>
    <col width="5.08203125" customWidth="1" style="227" min="12544" max="12544"/>
    <col width="41.08203125" customWidth="1" style="227" min="12545" max="12545"/>
    <col width="10" customWidth="1" style="227" min="12546" max="12546"/>
    <col width="11.5" customWidth="1" style="227" min="12547" max="12547"/>
    <col width="11.58203125" customWidth="1" style="227" min="12548" max="12548"/>
    <col width="12.33203125" customWidth="1" style="227" min="12549" max="12549"/>
    <col width="12.08203125" customWidth="1" style="227" min="12550" max="12550"/>
    <col width="12.5" customWidth="1" style="227" min="12551" max="12551"/>
    <col width="11.08203125" customWidth="1" style="227" min="12552" max="12552"/>
    <col width="11.33203125" customWidth="1" style="227" min="12553" max="12799"/>
    <col width="5.08203125" customWidth="1" style="227" min="12800" max="12800"/>
    <col width="41.08203125" customWidth="1" style="227" min="12801" max="12801"/>
    <col width="10" customWidth="1" style="227" min="12802" max="12802"/>
    <col width="11.5" customWidth="1" style="227" min="12803" max="12803"/>
    <col width="11.58203125" customWidth="1" style="227" min="12804" max="12804"/>
    <col width="12.33203125" customWidth="1" style="227" min="12805" max="12805"/>
    <col width="12.08203125" customWidth="1" style="227" min="12806" max="12806"/>
    <col width="12.5" customWidth="1" style="227" min="12807" max="12807"/>
    <col width="11.08203125" customWidth="1" style="227" min="12808" max="12808"/>
    <col width="11.33203125" customWidth="1" style="227" min="12809" max="13055"/>
    <col width="5.08203125" customWidth="1" style="227" min="13056" max="13056"/>
    <col width="41.08203125" customWidth="1" style="227" min="13057" max="13057"/>
    <col width="10" customWidth="1" style="227" min="13058" max="13058"/>
    <col width="11.5" customWidth="1" style="227" min="13059" max="13059"/>
    <col width="11.58203125" customWidth="1" style="227" min="13060" max="13060"/>
    <col width="12.33203125" customWidth="1" style="227" min="13061" max="13061"/>
    <col width="12.08203125" customWidth="1" style="227" min="13062" max="13062"/>
    <col width="12.5" customWidth="1" style="227" min="13063" max="13063"/>
    <col width="11.08203125" customWidth="1" style="227" min="13064" max="13064"/>
    <col width="11.33203125" customWidth="1" style="227" min="13065" max="13311"/>
    <col width="5.08203125" customWidth="1" style="227" min="13312" max="13312"/>
    <col width="41.08203125" customWidth="1" style="227" min="13313" max="13313"/>
    <col width="10" customWidth="1" style="227" min="13314" max="13314"/>
    <col width="11.5" customWidth="1" style="227" min="13315" max="13315"/>
    <col width="11.58203125" customWidth="1" style="227" min="13316" max="13316"/>
    <col width="12.33203125" customWidth="1" style="227" min="13317" max="13317"/>
    <col width="12.08203125" customWidth="1" style="227" min="13318" max="13318"/>
    <col width="12.5" customWidth="1" style="227" min="13319" max="13319"/>
    <col width="11.08203125" customWidth="1" style="227" min="13320" max="13320"/>
    <col width="11.33203125" customWidth="1" style="227" min="13321" max="13567"/>
    <col width="5.08203125" customWidth="1" style="227" min="13568" max="13568"/>
    <col width="41.08203125" customWidth="1" style="227" min="13569" max="13569"/>
    <col width="10" customWidth="1" style="227" min="13570" max="13570"/>
    <col width="11.5" customWidth="1" style="227" min="13571" max="13571"/>
    <col width="11.58203125" customWidth="1" style="227" min="13572" max="13572"/>
    <col width="12.33203125" customWidth="1" style="227" min="13573" max="13573"/>
    <col width="12.08203125" customWidth="1" style="227" min="13574" max="13574"/>
    <col width="12.5" customWidth="1" style="227" min="13575" max="13575"/>
    <col width="11.08203125" customWidth="1" style="227" min="13576" max="13576"/>
    <col width="11.33203125" customWidth="1" style="227" min="13577" max="13823"/>
    <col width="5.08203125" customWidth="1" style="227" min="13824" max="13824"/>
    <col width="41.08203125" customWidth="1" style="227" min="13825" max="13825"/>
    <col width="10" customWidth="1" style="227" min="13826" max="13826"/>
    <col width="11.5" customWidth="1" style="227" min="13827" max="13827"/>
    <col width="11.58203125" customWidth="1" style="227" min="13828" max="13828"/>
    <col width="12.33203125" customWidth="1" style="227" min="13829" max="13829"/>
    <col width="12.08203125" customWidth="1" style="227" min="13830" max="13830"/>
    <col width="12.5" customWidth="1" style="227" min="13831" max="13831"/>
    <col width="11.08203125" customWidth="1" style="227" min="13832" max="13832"/>
    <col width="11.33203125" customWidth="1" style="227" min="13833" max="14079"/>
    <col width="5.08203125" customWidth="1" style="227" min="14080" max="14080"/>
    <col width="41.08203125" customWidth="1" style="227" min="14081" max="14081"/>
    <col width="10" customWidth="1" style="227" min="14082" max="14082"/>
    <col width="11.5" customWidth="1" style="227" min="14083" max="14083"/>
    <col width="11.58203125" customWidth="1" style="227" min="14084" max="14084"/>
    <col width="12.33203125" customWidth="1" style="227" min="14085" max="14085"/>
    <col width="12.08203125" customWidth="1" style="227" min="14086" max="14086"/>
    <col width="12.5" customWidth="1" style="227" min="14087" max="14087"/>
    <col width="11.08203125" customWidth="1" style="227" min="14088" max="14088"/>
    <col width="11.33203125" customWidth="1" style="227" min="14089" max="14335"/>
    <col width="5.08203125" customWidth="1" style="227" min="14336" max="14336"/>
    <col width="41.08203125" customWidth="1" style="227" min="14337" max="14337"/>
    <col width="10" customWidth="1" style="227" min="14338" max="14338"/>
    <col width="11.5" customWidth="1" style="227" min="14339" max="14339"/>
    <col width="11.58203125" customWidth="1" style="227" min="14340" max="14340"/>
    <col width="12.33203125" customWidth="1" style="227" min="14341" max="14341"/>
    <col width="12.08203125" customWidth="1" style="227" min="14342" max="14342"/>
    <col width="12.5" customWidth="1" style="227" min="14343" max="14343"/>
    <col width="11.08203125" customWidth="1" style="227" min="14344" max="14344"/>
    <col width="11.33203125" customWidth="1" style="227" min="14345" max="14591"/>
    <col width="5.08203125" customWidth="1" style="227" min="14592" max="14592"/>
    <col width="41.08203125" customWidth="1" style="227" min="14593" max="14593"/>
    <col width="10" customWidth="1" style="227" min="14594" max="14594"/>
    <col width="11.5" customWidth="1" style="227" min="14595" max="14595"/>
    <col width="11.58203125" customWidth="1" style="227" min="14596" max="14596"/>
    <col width="12.33203125" customWidth="1" style="227" min="14597" max="14597"/>
    <col width="12.08203125" customWidth="1" style="227" min="14598" max="14598"/>
    <col width="12.5" customWidth="1" style="227" min="14599" max="14599"/>
    <col width="11.08203125" customWidth="1" style="227" min="14600" max="14600"/>
    <col width="11.33203125" customWidth="1" style="227" min="14601" max="14847"/>
    <col width="5.08203125" customWidth="1" style="227" min="14848" max="14848"/>
    <col width="41.08203125" customWidth="1" style="227" min="14849" max="14849"/>
    <col width="10" customWidth="1" style="227" min="14850" max="14850"/>
    <col width="11.5" customWidth="1" style="227" min="14851" max="14851"/>
    <col width="11.58203125" customWidth="1" style="227" min="14852" max="14852"/>
    <col width="12.33203125" customWidth="1" style="227" min="14853" max="14853"/>
    <col width="12.08203125" customWidth="1" style="227" min="14854" max="14854"/>
    <col width="12.5" customWidth="1" style="227" min="14855" max="14855"/>
    <col width="11.08203125" customWidth="1" style="227" min="14856" max="14856"/>
    <col width="11.33203125" customWidth="1" style="227" min="14857" max="15103"/>
    <col width="5.08203125" customWidth="1" style="227" min="15104" max="15104"/>
    <col width="41.08203125" customWidth="1" style="227" min="15105" max="15105"/>
    <col width="10" customWidth="1" style="227" min="15106" max="15106"/>
    <col width="11.5" customWidth="1" style="227" min="15107" max="15107"/>
    <col width="11.58203125" customWidth="1" style="227" min="15108" max="15108"/>
    <col width="12.33203125" customWidth="1" style="227" min="15109" max="15109"/>
    <col width="12.08203125" customWidth="1" style="227" min="15110" max="15110"/>
    <col width="12.5" customWidth="1" style="227" min="15111" max="15111"/>
    <col width="11.08203125" customWidth="1" style="227" min="15112" max="15112"/>
    <col width="11.33203125" customWidth="1" style="227" min="15113" max="15359"/>
    <col width="5.08203125" customWidth="1" style="227" min="15360" max="15360"/>
    <col width="41.08203125" customWidth="1" style="227" min="15361" max="15361"/>
    <col width="10" customWidth="1" style="227" min="15362" max="15362"/>
    <col width="11.5" customWidth="1" style="227" min="15363" max="15363"/>
    <col width="11.58203125" customWidth="1" style="227" min="15364" max="15364"/>
    <col width="12.33203125" customWidth="1" style="227" min="15365" max="15365"/>
    <col width="12.08203125" customWidth="1" style="227" min="15366" max="15366"/>
    <col width="12.5" customWidth="1" style="227" min="15367" max="15367"/>
    <col width="11.08203125" customWidth="1" style="227" min="15368" max="15368"/>
    <col width="11.33203125" customWidth="1" style="227" min="15369" max="15615"/>
    <col width="5.08203125" customWidth="1" style="227" min="15616" max="15616"/>
    <col width="41.08203125" customWidth="1" style="227" min="15617" max="15617"/>
    <col width="10" customWidth="1" style="227" min="15618" max="15618"/>
    <col width="11.5" customWidth="1" style="227" min="15619" max="15619"/>
    <col width="11.58203125" customWidth="1" style="227" min="15620" max="15620"/>
    <col width="12.33203125" customWidth="1" style="227" min="15621" max="15621"/>
    <col width="12.08203125" customWidth="1" style="227" min="15622" max="15622"/>
    <col width="12.5" customWidth="1" style="227" min="15623" max="15623"/>
    <col width="11.08203125" customWidth="1" style="227" min="15624" max="15624"/>
    <col width="11.33203125" customWidth="1" style="227" min="15625" max="15871"/>
    <col width="5.08203125" customWidth="1" style="227" min="15872" max="15872"/>
    <col width="41.08203125" customWidth="1" style="227" min="15873" max="15873"/>
    <col width="10" customWidth="1" style="227" min="15874" max="15874"/>
    <col width="11.5" customWidth="1" style="227" min="15875" max="15875"/>
    <col width="11.58203125" customWidth="1" style="227" min="15876" max="15876"/>
    <col width="12.33203125" customWidth="1" style="227" min="15877" max="15877"/>
    <col width="12.08203125" customWidth="1" style="227" min="15878" max="15878"/>
    <col width="12.5" customWidth="1" style="227" min="15879" max="15879"/>
    <col width="11.08203125" customWidth="1" style="227" min="15880" max="15880"/>
    <col width="11.33203125" customWidth="1" style="227" min="15881" max="16127"/>
    <col width="5.08203125" customWidth="1" style="227" min="16128" max="16128"/>
    <col width="41.08203125" customWidth="1" style="227" min="16129" max="16129"/>
    <col width="10" customWidth="1" style="227" min="16130" max="16130"/>
    <col width="11.5" customWidth="1" style="227" min="16131" max="16131"/>
    <col width="11.58203125" customWidth="1" style="227" min="16132" max="16132"/>
    <col width="12.33203125" customWidth="1" style="227" min="16133" max="16133"/>
    <col width="12.08203125" customWidth="1" style="227" min="16134" max="16134"/>
    <col width="12.5" customWidth="1" style="227" min="16135" max="16135"/>
    <col width="11.08203125" customWidth="1" style="227" min="16136" max="16136"/>
    <col width="11.33203125" customWidth="1" style="227" min="16137" max="16384"/>
  </cols>
  <sheetData>
    <row r="1" ht="16.5" customFormat="1" customHeight="1" s="225" thickBot="1">
      <c r="A1" s="302" t="n"/>
      <c r="B1" s="303" t="n"/>
      <c r="C1" s="303" t="n"/>
      <c r="D1" s="303" t="n"/>
      <c r="E1" s="303" t="n"/>
      <c r="F1" s="303" t="n"/>
      <c r="G1" s="303" t="n"/>
      <c r="H1" s="302" t="n"/>
      <c r="I1" s="302" t="n"/>
      <c r="J1" s="302" t="n"/>
      <c r="K1" s="302" t="n"/>
      <c r="L1" s="302" t="n"/>
      <c r="M1" s="302" t="n"/>
      <c r="N1" s="302" t="n"/>
      <c r="O1" s="302" t="n"/>
      <c r="P1" s="302" t="n"/>
      <c r="Q1" s="302" t="n"/>
      <c r="R1" s="302" t="n"/>
      <c r="S1" s="302" t="n"/>
    </row>
    <row r="2" ht="22.5" customHeight="1" thickTop="1">
      <c r="A2" s="302" t="n"/>
      <c r="B2" s="302" t="n"/>
      <c r="C2" s="302" t="n"/>
      <c r="D2" s="302" t="n"/>
      <c r="E2" s="302" t="n"/>
      <c r="F2" s="302" t="n"/>
      <c r="G2" s="302" t="n"/>
      <c r="H2" s="302" t="n"/>
      <c r="I2" s="226" t="n"/>
      <c r="J2" s="226" t="n"/>
      <c r="K2" s="226" t="n"/>
      <c r="L2" s="292" t="n"/>
      <c r="M2" s="292" t="n"/>
      <c r="N2" s="292" t="n"/>
      <c r="O2" s="292" t="n"/>
      <c r="P2" s="292" t="n"/>
      <c r="Q2" s="292" t="n"/>
      <c r="R2" s="292" t="n"/>
      <c r="S2" s="292" t="n"/>
    </row>
    <row r="3" ht="22.5" customHeight="1">
      <c r="A3" s="302" t="n"/>
      <c r="B3" s="228" t="inlineStr">
        <is>
          <t>Personal Survival Budget</t>
        </is>
      </c>
      <c r="C3" s="302" t="n"/>
      <c r="D3" s="302" t="n"/>
      <c r="E3" s="302" t="n"/>
      <c r="F3" s="302" t="n"/>
      <c r="G3" s="302" t="n"/>
      <c r="H3" s="302" t="n"/>
      <c r="I3" s="226" t="n"/>
      <c r="J3" s="226" t="n"/>
      <c r="K3" s="226" t="n"/>
      <c r="L3" s="292" t="n"/>
      <c r="M3" s="292" t="n"/>
      <c r="N3" s="292" t="n"/>
      <c r="O3" s="292" t="n"/>
      <c r="P3" s="292" t="n"/>
      <c r="Q3" s="292" t="n"/>
      <c r="R3" s="292" t="n"/>
      <c r="S3" s="292" t="n"/>
    </row>
    <row r="4" ht="22.5" customHeight="1">
      <c r="A4" s="302" t="n"/>
      <c r="B4" s="228" t="n"/>
      <c r="C4" s="302" t="n"/>
      <c r="D4" s="302" t="n"/>
      <c r="E4" s="302" t="n"/>
      <c r="F4" s="302" t="n"/>
      <c r="G4" s="302" t="n"/>
      <c r="H4" s="302" t="n"/>
      <c r="I4" s="226" t="n"/>
      <c r="J4" s="226" t="n"/>
      <c r="K4" s="226" t="n"/>
      <c r="L4" s="292" t="n"/>
      <c r="M4" s="292" t="n"/>
      <c r="N4" s="292" t="n"/>
      <c r="O4" s="292" t="n"/>
      <c r="P4" s="292" t="n"/>
      <c r="Q4" s="292" t="n"/>
      <c r="R4" s="292" t="n"/>
      <c r="S4" s="292" t="n"/>
    </row>
    <row r="5" ht="22.5" customHeight="1">
      <c r="A5" s="302" t="n"/>
      <c r="B5" s="297" t="inlineStr">
        <is>
          <t>Name:</t>
        </is>
      </c>
      <c r="C5" s="435">
        <f>IF(ISBLANK(Guidance!$E$3),"",Guidance!$E$3)</f>
        <v/>
      </c>
      <c r="D5" s="914" t="n"/>
      <c r="E5" s="914" t="n"/>
      <c r="F5" s="914" t="n"/>
      <c r="G5" s="914" t="n"/>
      <c r="H5" s="914" t="n"/>
      <c r="I5" s="914" t="n"/>
      <c r="J5" s="914" t="n"/>
      <c r="K5" s="226" t="n"/>
      <c r="L5" s="292" t="n"/>
      <c r="M5" s="292" t="n"/>
      <c r="N5" s="292" t="n"/>
      <c r="O5" s="292" t="n"/>
      <c r="P5" s="292" t="n"/>
      <c r="Q5" s="292" t="n"/>
      <c r="R5" s="292" t="n"/>
      <c r="S5" s="292" t="n"/>
    </row>
    <row r="6" ht="22.5" customHeight="1">
      <c r="A6" s="302" t="n"/>
      <c r="B6" s="297" t="inlineStr">
        <is>
          <t>Company Name:</t>
        </is>
      </c>
      <c r="C6" s="435">
        <f>IF(ISBLANK(Guidance!$E$4),"",Guidance!$E$4)</f>
        <v/>
      </c>
      <c r="D6" s="914" t="n"/>
      <c r="E6" s="914" t="n"/>
      <c r="F6" s="914" t="n"/>
      <c r="G6" s="914" t="n"/>
      <c r="H6" s="914" t="n"/>
      <c r="I6" s="914" t="n"/>
      <c r="J6" s="914" t="n"/>
      <c r="K6" s="226" t="n"/>
      <c r="L6" s="292" t="n"/>
      <c r="M6" s="292" t="n"/>
      <c r="N6" s="292" t="n"/>
      <c r="O6" s="292" t="n"/>
      <c r="P6" s="292" t="n"/>
      <c r="Q6" s="292" t="n"/>
      <c r="R6" s="292" t="n"/>
      <c r="S6" s="292" t="n"/>
    </row>
    <row r="7" ht="22.5" customHeight="1" thickBot="1">
      <c r="A7" s="302" t="n"/>
      <c r="B7" s="229" t="n"/>
      <c r="C7" s="302" t="n"/>
      <c r="D7" s="302" t="n"/>
      <c r="E7" s="302" t="n"/>
      <c r="F7" s="302" t="n"/>
      <c r="G7" s="302" t="n"/>
      <c r="H7" s="5" t="n"/>
      <c r="I7" s="226" t="n"/>
      <c r="J7" s="226" t="n"/>
      <c r="K7" s="226" t="n"/>
      <c r="L7" s="292" t="n"/>
      <c r="M7" s="292" t="n"/>
      <c r="N7" s="292" t="n"/>
      <c r="O7" s="292" t="n"/>
      <c r="P7" s="292" t="n"/>
      <c r="Q7" s="292" t="n"/>
      <c r="R7" s="292" t="n"/>
      <c r="S7" s="292" t="n"/>
    </row>
    <row r="8" ht="22.5" customHeight="1">
      <c r="A8" s="302" t="n"/>
      <c r="B8" s="1054" t="inlineStr">
        <is>
          <t>Your Personal Survival Budget (PSB) should detail your average monthly income minus all the costs and expenses you personally incur in a typical month. This is a personal budget – not a business budget – that is designed to help us determine whether or not you will be able to meet your monthly Start Up Loan repayments.
 - Your PSB should show PERSONAL income and expenses only, not business related items;
 - Your PSB should include all credit repayments (loans, credit cards etc) as part of your expenditure;
 - Before completing this template, you should reference your last three-months of personal bank statements to see how much you normally earn and spend;
 - If we have asked you for bank statements, please ensure your income &amp; expenses align where possible (accounting for monthly averages);
 - Your PSB should reflect your expected expenses for the first month after you secure your Start Up Loan;
 - We have linked the PSB and 12-month CFF tabs so that the monthly balance of your PSB automatically appears in your CFF.  
 - This is designed to help you see how much money you need to draw from your business as salary in the future in order to cover your personal expenses;
 - If your personal expenses are more than your personal income, your monthly balance will be negative. In this instance, your business will need to generate enough money to cover the shortfall.
- There is a commentary box at the bottom of this PSB, which you can use to provide any further context to the information you have provided;
- Do not include your SUL repayments as credit commitment, as this is to be recorded on your CFF;
- Only include income that will be ongoing. For example, if you currently earn a salary but you are planning to leave your job straight away to focus on the business, do not include this income. If you are planning to keep your job ongoing, please do include your salary.</t>
        </is>
      </c>
      <c r="C8" s="921" t="n"/>
      <c r="D8" s="921" t="n"/>
      <c r="E8" s="921" t="n"/>
      <c r="F8" s="921" t="n"/>
      <c r="G8" s="922" t="n"/>
      <c r="H8" s="5" t="n"/>
      <c r="I8" s="226" t="n"/>
      <c r="J8" s="226" t="n"/>
      <c r="K8" s="226" t="n"/>
      <c r="L8" s="292" t="n"/>
      <c r="M8" s="292" t="n"/>
      <c r="N8" s="292" t="n"/>
      <c r="O8" s="292" t="n"/>
      <c r="P8" s="292" t="n"/>
      <c r="Q8" s="292" t="n"/>
      <c r="R8" s="292" t="n"/>
      <c r="S8" s="292" t="n"/>
    </row>
    <row r="9" ht="22.5" customHeight="1">
      <c r="A9" s="302" t="n"/>
      <c r="B9" s="923" t="n"/>
      <c r="G9" s="924" t="n"/>
      <c r="H9" s="5" t="n"/>
      <c r="I9" s="226" t="n"/>
      <c r="J9" s="226" t="n"/>
      <c r="K9" s="226" t="n"/>
      <c r="L9" s="292" t="n"/>
      <c r="M9" s="292" t="n"/>
      <c r="N9" s="292" t="n"/>
      <c r="O9" s="292" t="n"/>
      <c r="P9" s="292" t="n"/>
      <c r="Q9" s="292" t="n"/>
      <c r="R9" s="292" t="n"/>
      <c r="S9" s="292" t="n"/>
    </row>
    <row r="10" ht="22.5" customHeight="1">
      <c r="A10" s="302" t="n"/>
      <c r="B10" s="923" t="n"/>
      <c r="G10" s="924" t="n"/>
      <c r="H10" s="5" t="n"/>
      <c r="I10" s="226" t="n"/>
      <c r="J10" s="226" t="n"/>
      <c r="K10" s="226" t="n"/>
      <c r="L10" s="292" t="n"/>
      <c r="M10" s="292" t="n"/>
      <c r="N10" s="292" t="n"/>
      <c r="O10" s="292" t="n"/>
      <c r="P10" s="292" t="n"/>
      <c r="Q10" s="292" t="n"/>
      <c r="R10" s="292" t="n"/>
      <c r="S10" s="292" t="n"/>
    </row>
    <row r="11" ht="22.5" customHeight="1">
      <c r="A11" s="302" t="n"/>
      <c r="B11" s="923" t="n"/>
      <c r="G11" s="924" t="n"/>
      <c r="H11" s="5" t="n"/>
      <c r="I11" s="226" t="n"/>
      <c r="J11" s="226" t="n"/>
      <c r="K11" s="226" t="n"/>
      <c r="L11" s="292" t="n"/>
      <c r="M11" s="292" t="n"/>
      <c r="N11" s="292" t="n"/>
      <c r="O11" s="292" t="n"/>
      <c r="P11" s="292" t="n"/>
      <c r="Q11" s="292" t="n"/>
      <c r="R11" s="292" t="n"/>
      <c r="S11" s="292" t="n"/>
    </row>
    <row r="12" ht="22.5" customHeight="1">
      <c r="A12" s="302" t="n"/>
      <c r="B12" s="923" t="n"/>
      <c r="G12" s="924" t="n"/>
      <c r="H12" s="5" t="n"/>
      <c r="I12" s="226" t="n"/>
      <c r="J12" s="226" t="n"/>
      <c r="K12" s="226" t="n"/>
      <c r="L12" s="292" t="n"/>
      <c r="M12" s="292" t="n"/>
      <c r="N12" s="292" t="n"/>
      <c r="O12" s="292" t="n"/>
      <c r="P12" s="292" t="n"/>
      <c r="Q12" s="292" t="n"/>
      <c r="R12" s="292" t="n"/>
      <c r="S12" s="292" t="n"/>
    </row>
    <row r="13" ht="22.5" customHeight="1">
      <c r="A13" s="302" t="n"/>
      <c r="B13" s="923" t="n"/>
      <c r="G13" s="924" t="n"/>
      <c r="H13" s="5" t="n"/>
      <c r="I13" s="226" t="n"/>
      <c r="J13" s="226" t="n"/>
      <c r="K13" s="226" t="n"/>
      <c r="L13" s="292" t="n"/>
      <c r="M13" s="292" t="n"/>
      <c r="N13" s="292" t="n"/>
      <c r="O13" s="292" t="n"/>
      <c r="P13" s="292" t="n"/>
      <c r="Q13" s="292" t="n"/>
      <c r="R13" s="292" t="n"/>
      <c r="S13" s="292" t="n"/>
    </row>
    <row r="14" ht="22.5" customHeight="1">
      <c r="A14" s="302" t="n"/>
      <c r="B14" s="923" t="n"/>
      <c r="G14" s="924" t="n"/>
      <c r="H14" s="5" t="n"/>
      <c r="I14" s="226" t="n"/>
      <c r="J14" s="226" t="n"/>
      <c r="K14" s="226" t="n"/>
      <c r="L14" s="292" t="n"/>
      <c r="M14" s="292" t="n"/>
      <c r="N14" s="292" t="n"/>
      <c r="O14" s="292" t="n"/>
      <c r="P14" s="292" t="n"/>
      <c r="Q14" s="292" t="n"/>
      <c r="R14" s="292" t="n"/>
      <c r="S14" s="292" t="n"/>
    </row>
    <row r="15" ht="22.5" customHeight="1">
      <c r="A15" s="302" t="n"/>
      <c r="B15" s="923" t="n"/>
      <c r="G15" s="924" t="n"/>
      <c r="H15" s="5" t="n"/>
      <c r="I15" s="226" t="n"/>
      <c r="J15" s="226" t="n"/>
      <c r="K15" s="226" t="n"/>
      <c r="L15" s="292" t="n"/>
      <c r="M15" s="292" t="n"/>
      <c r="N15" s="292" t="n"/>
      <c r="O15" s="292" t="n"/>
      <c r="P15" s="292" t="n"/>
      <c r="Q15" s="292" t="n"/>
      <c r="R15" s="292" t="n"/>
      <c r="S15" s="292" t="n"/>
    </row>
    <row r="16" ht="22.5" customHeight="1">
      <c r="A16" s="302" t="n"/>
      <c r="B16" s="923" t="n"/>
      <c r="G16" s="924" t="n"/>
      <c r="H16" s="5" t="n"/>
      <c r="I16" s="226" t="n"/>
      <c r="J16" s="226" t="n"/>
      <c r="K16" s="226" t="n"/>
      <c r="L16" s="292" t="n"/>
      <c r="M16" s="292" t="n"/>
      <c r="N16" s="292" t="n"/>
      <c r="O16" s="292" t="n"/>
      <c r="P16" s="292" t="n"/>
      <c r="Q16" s="292" t="n"/>
      <c r="R16" s="292" t="n"/>
      <c r="S16" s="292" t="n"/>
    </row>
    <row r="17" ht="22.75" customHeight="1">
      <c r="A17" s="302" t="n"/>
      <c r="B17" s="923" t="n"/>
      <c r="G17" s="924" t="n"/>
      <c r="H17" s="5" t="n"/>
      <c r="I17" s="226" t="n"/>
      <c r="J17" s="226" t="n"/>
      <c r="K17" s="226" t="n"/>
      <c r="L17" s="292" t="n"/>
      <c r="M17" s="292" t="n"/>
      <c r="N17" s="292" t="n"/>
      <c r="O17" s="292" t="n"/>
      <c r="P17" s="292" t="n"/>
      <c r="Q17" s="292" t="n"/>
      <c r="R17" s="292" t="n"/>
      <c r="S17" s="292" t="n"/>
    </row>
    <row r="18" ht="27.75" customHeight="1" thickBot="1">
      <c r="A18" s="302" t="n"/>
      <c r="B18" s="932" t="n"/>
      <c r="C18" s="928" t="n"/>
      <c r="D18" s="928" t="n"/>
      <c r="E18" s="928" t="n"/>
      <c r="F18" s="928" t="n"/>
      <c r="G18" s="929" t="n"/>
      <c r="H18" s="5" t="n"/>
      <c r="I18" s="226" t="n"/>
      <c r="J18" s="226" t="n"/>
      <c r="K18" s="226" t="n"/>
      <c r="L18" s="292" t="n"/>
      <c r="M18" s="292" t="n"/>
      <c r="N18" s="292" t="n"/>
      <c r="O18" s="292" t="n"/>
      <c r="P18" s="292" t="n"/>
      <c r="Q18" s="292" t="n"/>
      <c r="R18" s="292" t="n"/>
      <c r="S18" s="292" t="n"/>
    </row>
    <row r="19" ht="23.5" customHeight="1">
      <c r="A19" s="302" t="n"/>
      <c r="B19" s="41" t="n"/>
      <c r="C19" s="302" t="n"/>
      <c r="D19" s="302" t="n"/>
      <c r="E19" s="302" t="n"/>
      <c r="F19" s="9" t="inlineStr">
        <is>
          <t>Key:</t>
        </is>
      </c>
      <c r="G19" s="10" t="n"/>
      <c r="H19" s="302" t="n"/>
      <c r="I19" s="230" t="n"/>
      <c r="J19" s="230" t="n"/>
      <c r="K19" s="230" t="n"/>
      <c r="L19" s="292" t="n"/>
      <c r="M19" s="292" t="n"/>
      <c r="N19" s="292" t="n"/>
      <c r="O19" s="292" t="n"/>
      <c r="P19" s="292" t="n"/>
      <c r="Q19" s="292" t="n"/>
      <c r="R19" s="292" t="n"/>
      <c r="S19" s="292" t="n"/>
    </row>
    <row r="20" ht="25" customHeight="1">
      <c r="A20" s="302" t="n"/>
      <c r="B20" s="41" t="n"/>
      <c r="C20" s="302" t="n"/>
      <c r="D20" s="302" t="n"/>
      <c r="E20" s="302" t="n"/>
      <c r="F20" s="29" t="n"/>
      <c r="G20" s="11" t="inlineStr">
        <is>
          <t>These cells auto-calculate - you don't need to edit these.</t>
        </is>
      </c>
      <c r="H20" s="302" t="n"/>
      <c r="I20" s="230" t="n"/>
      <c r="J20" s="230" t="n"/>
      <c r="K20" s="230" t="n"/>
      <c r="L20" s="292" t="n"/>
      <c r="M20" s="292" t="n"/>
      <c r="N20" s="292" t="n"/>
      <c r="O20" s="292" t="n"/>
      <c r="P20" s="292" t="n"/>
      <c r="Q20" s="292" t="n"/>
      <c r="R20" s="292" t="n"/>
      <c r="S20" s="292" t="n"/>
    </row>
    <row r="21" ht="25" customHeight="1">
      <c r="A21" s="302" t="n"/>
      <c r="B21" s="41" t="n"/>
      <c r="C21" s="302" t="n"/>
      <c r="D21" s="302" t="n"/>
      <c r="E21" s="302" t="n"/>
      <c r="F21" s="34" t="n"/>
      <c r="G21" s="11" t="inlineStr">
        <is>
          <t>Insert your own text/numbers into these cells as relevant.</t>
        </is>
      </c>
      <c r="H21" s="302" t="n"/>
      <c r="I21" s="292" t="n"/>
      <c r="J21" s="292" t="n"/>
      <c r="K21" s="292" t="n"/>
      <c r="L21" s="292" t="n"/>
      <c r="M21" s="292" t="n"/>
      <c r="N21" s="292" t="n"/>
      <c r="O21" s="292" t="n"/>
      <c r="P21" s="292" t="n"/>
      <c r="Q21" s="292" t="n"/>
      <c r="R21" s="292" t="n"/>
      <c r="S21" s="292" t="n"/>
    </row>
    <row r="22" ht="23.5" customFormat="1" customHeight="1" s="225" thickBot="1">
      <c r="A22" s="302" t="n"/>
      <c r="B22" s="231" t="n"/>
      <c r="C22" s="303" t="n"/>
      <c r="D22" s="231" t="n"/>
      <c r="E22" s="304" t="n"/>
      <c r="F22" s="303" t="n"/>
      <c r="G22" s="303" t="n"/>
      <c r="H22" s="302" t="n"/>
      <c r="I22" s="302" t="n"/>
      <c r="J22" s="302" t="n"/>
      <c r="K22" s="302" t="n"/>
      <c r="L22" s="302" t="n"/>
      <c r="M22" s="302" t="n"/>
      <c r="N22" s="302" t="n"/>
      <c r="O22" s="302" t="n"/>
      <c r="P22" s="302" t="n"/>
      <c r="Q22" s="302" t="n"/>
      <c r="R22" s="302" t="n"/>
      <c r="S22" s="302" t="n"/>
    </row>
    <row r="23" ht="24.75" customFormat="1" customHeight="1" s="225" thickBot="1" thickTop="1">
      <c r="A23" s="302" t="n"/>
      <c r="B23" s="302" t="n"/>
      <c r="C23" s="302" t="n"/>
      <c r="D23" s="302" t="n"/>
      <c r="E23" s="302" t="n"/>
      <c r="F23" s="302" t="n"/>
      <c r="G23" s="302" t="n"/>
      <c r="H23" s="302" t="n"/>
      <c r="I23" s="302" t="n"/>
      <c r="J23" s="302" t="n"/>
      <c r="K23" s="302" t="n"/>
      <c r="L23" s="302" t="n"/>
      <c r="M23" s="302" t="n"/>
      <c r="N23" s="302" t="n"/>
      <c r="O23" s="302" t="n"/>
      <c r="P23" s="302" t="n"/>
      <c r="Q23" s="302" t="n"/>
      <c r="R23" s="302" t="n"/>
      <c r="S23" s="302" t="n"/>
    </row>
    <row r="24" ht="30" customFormat="1" customHeight="1" s="225">
      <c r="A24" s="302" t="n"/>
      <c r="B24" s="107" t="inlineStr">
        <is>
          <t>Personal income</t>
        </is>
      </c>
      <c r="C24" s="875" t="inlineStr">
        <is>
          <t>Description (as required)</t>
        </is>
      </c>
      <c r="D24" s="1055" t="n"/>
      <c r="E24" s="108" t="inlineStr">
        <is>
          <t>Monthly net income (£)</t>
        </is>
      </c>
      <c r="F24" s="302" t="n"/>
      <c r="G24" s="118" t="inlineStr">
        <is>
          <t>Annual net income (£)</t>
        </is>
      </c>
      <c r="H24" s="302" t="n"/>
      <c r="I24" s="302" t="n"/>
      <c r="J24" s="302" t="n"/>
      <c r="K24" s="302" t="n"/>
      <c r="L24" s="302" t="n"/>
      <c r="M24" s="302" t="n"/>
      <c r="N24" s="302" t="n"/>
      <c r="O24" s="302" t="n"/>
      <c r="P24" s="302" t="n"/>
      <c r="Q24" s="302" t="n"/>
      <c r="R24" s="302" t="n"/>
      <c r="S24" s="302" t="n"/>
    </row>
    <row r="25">
      <c r="A25" s="302" t="n"/>
      <c r="B25" s="109" t="inlineStr">
        <is>
          <t>Employment (net income)</t>
        </is>
      </c>
      <c r="C25" s="842" t="inlineStr">
        <is>
          <t>Base salary at Meta (£154,000 gross p.a. — net after income tax &amp; NI)</t>
        </is>
      </c>
      <c r="D25" s="1056" t="n"/>
      <c r="E25" s="1057" t="n">
        <v>8200</v>
      </c>
      <c r="F25" s="1058" t="n"/>
      <c r="G25" s="1059">
        <f>E25*12</f>
        <v/>
      </c>
      <c r="H25" s="302" t="n"/>
      <c r="I25" s="292" t="n"/>
      <c r="J25" s="292" t="n"/>
      <c r="K25" s="292" t="n"/>
      <c r="L25" s="292" t="n"/>
      <c r="M25" s="292" t="n"/>
      <c r="N25" s="292" t="n"/>
      <c r="O25" s="292" t="n"/>
      <c r="P25" s="292" t="n"/>
      <c r="Q25" s="292" t="n"/>
      <c r="R25" s="292" t="n"/>
      <c r="S25" s="292" t="n"/>
    </row>
    <row r="26">
      <c r="A26" s="302" t="n"/>
      <c r="B26" s="111" t="inlineStr">
        <is>
          <t>Benefits payments</t>
        </is>
      </c>
      <c r="C26" s="846" t="n"/>
      <c r="D26" s="1060" t="n"/>
      <c r="E26" s="1061" t="n">
        <v>0</v>
      </c>
      <c r="F26" s="1058" t="n"/>
      <c r="G26" s="1062">
        <f>E26*12</f>
        <v/>
      </c>
      <c r="H26" s="302" t="n"/>
      <c r="I26" s="292" t="n"/>
      <c r="J26" s="292" t="n"/>
      <c r="K26" s="292" t="n"/>
      <c r="L26" s="292" t="n"/>
      <c r="M26" s="292" t="n"/>
      <c r="N26" s="292" t="n"/>
      <c r="O26" s="292" t="n"/>
      <c r="P26" s="292" t="n"/>
      <c r="Q26" s="292" t="n"/>
      <c r="R26" s="292" t="n"/>
      <c r="S26" s="292" t="n"/>
    </row>
    <row r="27">
      <c r="A27" s="302" t="n"/>
      <c r="B27" s="109" t="inlineStr">
        <is>
          <t>Enter other</t>
        </is>
      </c>
      <c r="C27" s="842" t="n"/>
      <c r="D27" s="1056" t="n"/>
      <c r="E27" s="1063" t="n">
        <v>0</v>
      </c>
      <c r="F27" s="1058" t="n"/>
      <c r="G27" s="1064">
        <f>E27*12</f>
        <v/>
      </c>
      <c r="H27" s="302" t="n"/>
      <c r="I27" s="292" t="n"/>
      <c r="J27" s="292" t="n"/>
      <c r="K27" s="292" t="n"/>
      <c r="L27" s="292" t="n"/>
      <c r="M27" s="292" t="n"/>
      <c r="N27" s="292" t="n"/>
      <c r="O27" s="292" t="n"/>
      <c r="P27" s="292" t="n"/>
      <c r="Q27" s="292" t="n"/>
      <c r="R27" s="292" t="n"/>
      <c r="S27" s="292" t="n"/>
    </row>
    <row r="28">
      <c r="A28" s="302" t="n"/>
      <c r="B28" s="113" t="inlineStr">
        <is>
          <t>Enter other</t>
        </is>
      </c>
      <c r="C28" s="844" t="n"/>
      <c r="D28" s="1065" t="n"/>
      <c r="E28" s="1066" t="n">
        <v>0</v>
      </c>
      <c r="F28" s="1058" t="n"/>
      <c r="G28" s="1067">
        <f>E28*12</f>
        <v/>
      </c>
      <c r="H28" s="302" t="n"/>
      <c r="I28" s="292" t="n"/>
      <c r="J28" s="292" t="n"/>
      <c r="K28" s="292" t="n"/>
      <c r="L28" s="292" t="n"/>
      <c r="M28" s="292" t="n"/>
      <c r="N28" s="292" t="n"/>
      <c r="O28" s="292" t="n"/>
      <c r="P28" s="292" t="n"/>
      <c r="Q28" s="292" t="n"/>
      <c r="R28" s="292" t="n"/>
      <c r="S28" s="292" t="n"/>
    </row>
    <row r="29">
      <c r="A29" s="302" t="n"/>
      <c r="B29" s="115" t="inlineStr">
        <is>
          <t>Enter other</t>
        </is>
      </c>
      <c r="C29" s="861" t="n"/>
      <c r="D29" s="1068" t="n"/>
      <c r="E29" s="1057" t="n">
        <v>0</v>
      </c>
      <c r="F29" s="1058" t="n"/>
      <c r="G29" s="1062">
        <f>E29*12</f>
        <v/>
      </c>
      <c r="H29" s="302" t="n"/>
      <c r="I29" s="292" t="n"/>
      <c r="J29" s="292" t="n"/>
      <c r="K29" s="292" t="n"/>
      <c r="L29" s="292" t="n"/>
      <c r="M29" s="292" t="n"/>
      <c r="N29" s="292" t="n"/>
      <c r="O29" s="292" t="n"/>
      <c r="P29" s="292" t="n"/>
      <c r="Q29" s="292" t="n"/>
      <c r="R29" s="292" t="n"/>
      <c r="S29" s="292" t="n"/>
    </row>
    <row r="30" ht="14.5" customHeight="1" thickBot="1">
      <c r="A30" s="302" t="n"/>
      <c r="B30" s="116" t="inlineStr">
        <is>
          <t>Enter other</t>
        </is>
      </c>
      <c r="C30" s="874" t="n"/>
      <c r="D30" s="1069" t="n"/>
      <c r="E30" s="1070" t="n">
        <v>0</v>
      </c>
      <c r="F30" s="1058" t="n"/>
      <c r="G30" s="1071">
        <f>E30*12</f>
        <v/>
      </c>
      <c r="H30" s="302" t="n"/>
      <c r="I30" s="292" t="n"/>
      <c r="J30" s="292" t="n"/>
      <c r="K30" s="292" t="n"/>
      <c r="L30" s="292" t="n"/>
      <c r="M30" s="292" t="n"/>
      <c r="N30" s="292" t="n"/>
      <c r="O30" s="292" t="n"/>
      <c r="P30" s="292" t="n"/>
      <c r="Q30" s="292" t="n"/>
      <c r="R30" s="292" t="n"/>
      <c r="S30" s="292" t="n"/>
    </row>
    <row r="31" ht="14.5" customHeight="1" thickBot="1">
      <c r="A31" s="302" t="n"/>
      <c r="B31" s="116" t="inlineStr">
        <is>
          <t>Enter other</t>
        </is>
      </c>
      <c r="C31" s="1072" t="n"/>
      <c r="D31" s="1073" t="n"/>
      <c r="E31" s="1057" t="n">
        <v>0</v>
      </c>
      <c r="F31" s="1058" t="n"/>
      <c r="G31" s="1071">
        <f>E31*12</f>
        <v/>
      </c>
      <c r="H31" s="302" t="n"/>
      <c r="I31" s="292" t="n"/>
      <c r="J31" s="292" t="n"/>
      <c r="K31" s="292" t="n"/>
      <c r="L31" s="292" t="n"/>
      <c r="M31" s="292" t="n"/>
      <c r="N31" s="292" t="n"/>
      <c r="O31" s="292" t="n"/>
      <c r="P31" s="292" t="n"/>
      <c r="Q31" s="292" t="n"/>
      <c r="R31" s="292" t="n"/>
      <c r="S31" s="292" t="n"/>
    </row>
    <row r="32" ht="14.5" customHeight="1" thickBot="1">
      <c r="A32" s="302" t="n"/>
      <c r="B32" s="116" t="inlineStr">
        <is>
          <t>Enter other</t>
        </is>
      </c>
      <c r="C32" s="1074" t="n"/>
      <c r="D32" s="1075" t="n"/>
      <c r="E32" s="1076" t="n">
        <v>0</v>
      </c>
      <c r="F32" s="1058" t="n"/>
      <c r="G32" s="1071">
        <f>E32*12</f>
        <v/>
      </c>
      <c r="H32" s="302" t="n"/>
      <c r="I32" s="292" t="n"/>
      <c r="J32" s="292" t="n"/>
      <c r="K32" s="292" t="n"/>
      <c r="L32" s="292" t="n"/>
      <c r="M32" s="292" t="n"/>
      <c r="N32" s="292" t="n"/>
      <c r="O32" s="292" t="n"/>
      <c r="P32" s="292" t="n"/>
      <c r="Q32" s="292" t="n"/>
      <c r="R32" s="292" t="n"/>
      <c r="S32" s="292" t="n"/>
    </row>
    <row r="33" ht="16" customHeight="1" thickBot="1">
      <c r="A33" s="302" t="n"/>
      <c r="B33" s="864" t="inlineStr">
        <is>
          <t>Total income across all sources:</t>
        </is>
      </c>
      <c r="C33" s="949" t="n"/>
      <c r="D33" s="1077" t="n"/>
      <c r="E33" s="1078">
        <f>SUM(E25:E32)</f>
        <v/>
      </c>
      <c r="F33" s="1058" t="n"/>
      <c r="G33" s="1079">
        <f>SUM(G25:G32)</f>
        <v/>
      </c>
      <c r="H33" s="302" t="n"/>
      <c r="I33" s="292" t="n"/>
      <c r="J33" s="292" t="n"/>
      <c r="K33" s="292" t="n"/>
      <c r="L33" s="292" t="n"/>
      <c r="M33" s="292" t="n"/>
      <c r="N33" s="292" t="n"/>
      <c r="O33" s="292" t="n"/>
      <c r="P33" s="292" t="n"/>
      <c r="Q33" s="292" t="n"/>
      <c r="R33" s="292" t="n"/>
      <c r="S33" s="292" t="n"/>
    </row>
    <row r="34" ht="28.5" customHeight="1" thickBot="1">
      <c r="A34" s="302" t="n"/>
      <c r="B34" s="302" t="n"/>
      <c r="C34" s="302" t="n"/>
      <c r="D34" s="302" t="n"/>
      <c r="E34" s="1080" t="n"/>
      <c r="F34" s="1081" t="n"/>
      <c r="G34" s="1080" t="n"/>
      <c r="H34" s="302" t="n"/>
      <c r="I34" s="292" t="n"/>
      <c r="J34" s="292" t="n"/>
      <c r="K34" s="292" t="n"/>
      <c r="L34" s="292" t="n"/>
      <c r="M34" s="292" t="n"/>
      <c r="N34" s="292" t="n"/>
      <c r="O34" s="292" t="n"/>
      <c r="P34" s="292" t="n"/>
      <c r="Q34" s="292" t="n"/>
      <c r="R34" s="292" t="n"/>
      <c r="S34" s="292" t="n"/>
    </row>
    <row r="35" ht="30" customFormat="1" customHeight="1" s="225">
      <c r="A35" s="302" t="n"/>
      <c r="B35" s="125" t="inlineStr">
        <is>
          <t>Personal expenses</t>
        </is>
      </c>
      <c r="C35" s="867" t="inlineStr">
        <is>
          <t>Description (as required)</t>
        </is>
      </c>
      <c r="D35" s="1082" t="n"/>
      <c r="E35" s="1083" t="inlineStr">
        <is>
          <t>Monthly net expenses (£)</t>
        </is>
      </c>
      <c r="F35" s="1080" t="n"/>
      <c r="G35" s="1084" t="inlineStr">
        <is>
          <t>Annual net expenses (£)</t>
        </is>
      </c>
      <c r="H35" s="302" t="n"/>
      <c r="I35" s="302" t="n"/>
      <c r="J35" s="302" t="n"/>
      <c r="K35" s="292" t="n"/>
      <c r="L35" s="302" t="n"/>
      <c r="M35" s="302" t="n"/>
      <c r="N35" s="302" t="n"/>
      <c r="O35" s="302" t="n"/>
      <c r="P35" s="302" t="n"/>
      <c r="Q35" s="302" t="n"/>
      <c r="R35" s="302" t="n"/>
      <c r="S35" s="302" t="n"/>
    </row>
    <row r="36">
      <c r="A36" s="302" t="n"/>
      <c r="B36" s="127" t="inlineStr">
        <is>
          <t>Rent or mortgage payments</t>
        </is>
      </c>
      <c r="C36" s="870" t="n"/>
      <c r="D36" s="1085" t="n"/>
      <c r="E36" s="1086" t="n">
        <v>3200</v>
      </c>
      <c r="F36" s="1058" t="n"/>
      <c r="G36" s="1064">
        <f>E36*12</f>
        <v/>
      </c>
      <c r="H36" s="302" t="n"/>
      <c r="I36" s="292" t="n"/>
      <c r="J36" s="292" t="n"/>
      <c r="K36" s="292" t="n"/>
      <c r="L36" s="292" t="n"/>
      <c r="M36" s="292" t="n"/>
      <c r="N36" s="292" t="n"/>
      <c r="O36" s="292" t="n"/>
      <c r="P36" s="292" t="n"/>
      <c r="Q36" s="292" t="n"/>
      <c r="R36" s="292" t="n"/>
      <c r="S36" s="292" t="n"/>
    </row>
    <row r="37">
      <c r="A37" s="302" t="n"/>
      <c r="B37" s="129" t="inlineStr">
        <is>
          <t>Council tax</t>
        </is>
      </c>
      <c r="C37" s="842" t="n"/>
      <c r="D37" s="1056" t="n"/>
      <c r="E37" s="1086" t="n">
        <v>180</v>
      </c>
      <c r="F37" s="1058" t="n"/>
      <c r="G37" s="1067">
        <f>E37*12</f>
        <v/>
      </c>
      <c r="H37" s="302" t="n"/>
      <c r="I37" s="292" t="n"/>
      <c r="J37" s="292" t="n"/>
      <c r="K37" s="292" t="n"/>
      <c r="L37" s="292" t="n"/>
      <c r="M37" s="292" t="n"/>
      <c r="N37" s="292" t="n"/>
      <c r="O37" s="292" t="n"/>
      <c r="P37" s="292" t="n"/>
      <c r="Q37" s="292" t="n"/>
      <c r="R37" s="292" t="n"/>
      <c r="S37" s="292" t="n"/>
    </row>
    <row r="38">
      <c r="A38" s="302" t="n"/>
      <c r="B38" s="130" t="inlineStr">
        <is>
          <t>Utilities</t>
        </is>
      </c>
      <c r="C38" s="842" t="n"/>
      <c r="D38" s="1056" t="n"/>
      <c r="E38" s="1086" t="n">
        <v>200</v>
      </c>
      <c r="F38" s="1058" t="n"/>
      <c r="G38" s="1067">
        <f>E38*12</f>
        <v/>
      </c>
      <c r="H38" s="302" t="n"/>
      <c r="I38" s="292" t="n"/>
      <c r="J38" s="292" t="n"/>
      <c r="K38" s="292" t="n"/>
      <c r="L38" s="292" t="n"/>
      <c r="M38" s="292" t="n"/>
      <c r="N38" s="292" t="n"/>
      <c r="O38" s="292" t="n"/>
      <c r="P38" s="292" t="n"/>
      <c r="Q38" s="292" t="n"/>
      <c r="R38" s="292" t="n"/>
      <c r="S38" s="292" t="n"/>
    </row>
    <row r="39">
      <c r="A39" s="302" t="n"/>
      <c r="B39" s="127" t="inlineStr">
        <is>
          <t>Phone and internet</t>
        </is>
      </c>
      <c r="C39" s="844" t="n"/>
      <c r="D39" s="1065" t="n"/>
      <c r="E39" s="1086" t="n">
        <v>100</v>
      </c>
      <c r="F39" s="1058" t="n"/>
      <c r="G39" s="1067">
        <f>E39*12</f>
        <v/>
      </c>
      <c r="H39" s="302" t="n"/>
      <c r="I39" s="292" t="n"/>
      <c r="J39" s="292" t="n"/>
      <c r="K39" s="292" t="n"/>
      <c r="L39" s="292" t="n"/>
      <c r="M39" s="292" t="n"/>
      <c r="N39" s="292" t="n"/>
      <c r="O39" s="292" t="n"/>
      <c r="P39" s="292" t="n"/>
      <c r="Q39" s="292" t="n"/>
      <c r="R39" s="292" t="n"/>
      <c r="S39" s="292" t="n"/>
    </row>
    <row r="40">
      <c r="A40" s="302" t="n"/>
      <c r="B40" s="109" t="inlineStr">
        <is>
          <t>TV Licence</t>
        </is>
      </c>
      <c r="C40" s="842" t="n"/>
      <c r="D40" s="1056" t="n"/>
      <c r="E40" s="1086" t="n">
        <v>14</v>
      </c>
      <c r="F40" s="1058" t="n"/>
      <c r="G40" s="1067">
        <f>E40*12</f>
        <v/>
      </c>
      <c r="H40" s="302" t="n"/>
      <c r="I40" s="292" t="n"/>
      <c r="J40" s="292" t="n"/>
      <c r="K40" s="292" t="n"/>
      <c r="L40" s="292" t="n"/>
      <c r="M40" s="292" t="n"/>
      <c r="N40" s="292" t="n"/>
      <c r="O40" s="292" t="n"/>
      <c r="P40" s="292" t="n"/>
      <c r="Q40" s="292" t="n"/>
      <c r="R40" s="292" t="n"/>
      <c r="S40" s="292" t="n"/>
    </row>
    <row r="41">
      <c r="A41" s="302" t="n"/>
      <c r="B41" s="109" t="inlineStr">
        <is>
          <t>Personal and property insurance</t>
        </is>
      </c>
      <c r="C41" s="842" t="n"/>
      <c r="D41" s="1056" t="n"/>
      <c r="E41" s="1086" t="n">
        <v>80</v>
      </c>
      <c r="F41" s="1058" t="n"/>
      <c r="G41" s="1067">
        <f>E41*12</f>
        <v/>
      </c>
      <c r="H41" s="302" t="n"/>
      <c r="I41" s="292" t="n"/>
      <c r="J41" s="292" t="n"/>
      <c r="K41" s="292" t="n"/>
      <c r="L41" s="292" t="n"/>
      <c r="M41" s="292" t="n"/>
      <c r="N41" s="292" t="n"/>
      <c r="O41" s="292" t="n"/>
      <c r="P41" s="292" t="n"/>
      <c r="Q41" s="292" t="n"/>
      <c r="R41" s="292" t="n"/>
      <c r="S41" s="292" t="n"/>
    </row>
    <row r="42">
      <c r="A42" s="302" t="n"/>
      <c r="B42" s="113" t="inlineStr">
        <is>
          <t>Grocery shopping</t>
        </is>
      </c>
      <c r="C42" s="844" t="n"/>
      <c r="D42" s="1065" t="n"/>
      <c r="E42" s="1086" t="n">
        <v>400</v>
      </c>
      <c r="F42" s="1058" t="n"/>
      <c r="G42" s="1067">
        <f>E42*12</f>
        <v/>
      </c>
      <c r="H42" s="302" t="n"/>
      <c r="I42" s="292" t="n"/>
      <c r="J42" s="292" t="n"/>
      <c r="K42" s="292" t="n"/>
      <c r="L42" s="292" t="n"/>
      <c r="M42" s="292" t="n"/>
      <c r="N42" s="292" t="n"/>
      <c r="O42" s="292" t="n"/>
      <c r="P42" s="292" t="n"/>
      <c r="Q42" s="292" t="n"/>
      <c r="R42" s="292" t="n"/>
      <c r="S42" s="292" t="n"/>
    </row>
    <row r="43" ht="14.5" customHeight="1" thickBot="1">
      <c r="A43" s="302" t="n"/>
      <c r="B43" s="109" t="inlineStr">
        <is>
          <t>Transport costs</t>
        </is>
      </c>
      <c r="C43" s="842" t="n"/>
      <c r="D43" s="1056" t="n"/>
      <c r="E43" s="1086" t="n">
        <v>100</v>
      </c>
      <c r="F43" s="1058" t="n"/>
      <c r="G43" s="1067">
        <f>E43*12</f>
        <v/>
      </c>
      <c r="H43" s="302" t="n"/>
      <c r="I43" s="292" t="n"/>
      <c r="J43" s="292" t="n"/>
      <c r="K43" s="292" t="n"/>
      <c r="L43" s="292" t="n"/>
      <c r="M43" s="292" t="n"/>
      <c r="N43" s="292" t="n"/>
      <c r="O43" s="292" t="n"/>
      <c r="P43" s="292" t="n"/>
      <c r="Q43" s="233" t="n"/>
      <c r="R43" s="292" t="n"/>
      <c r="S43" s="292" t="n"/>
    </row>
    <row r="44" ht="14.5" customHeight="1" thickBot="1">
      <c r="A44" s="302" t="n"/>
      <c r="B44" s="113" t="inlineStr">
        <is>
          <t>Car tax and insurance</t>
        </is>
      </c>
      <c r="C44" s="844" t="n"/>
      <c r="D44" s="1065" t="n"/>
      <c r="E44" s="1086" t="n">
        <v>1000</v>
      </c>
      <c r="F44" s="1058" t="n"/>
      <c r="G44" s="1087">
        <f>E44*12</f>
        <v/>
      </c>
      <c r="H44" s="306" t="n"/>
      <c r="I44" s="292" t="n"/>
      <c r="J44" s="292" t="n"/>
      <c r="K44" s="292" t="n"/>
      <c r="L44" s="292" t="n"/>
      <c r="M44" s="292" t="n"/>
      <c r="N44" s="292" t="n"/>
      <c r="O44" s="292" t="n"/>
      <c r="P44" s="292" t="n"/>
      <c r="Q44" s="233" t="n"/>
      <c r="R44" s="292" t="n"/>
      <c r="S44" s="292" t="n"/>
    </row>
    <row r="45">
      <c r="A45" s="302" t="n"/>
      <c r="B45" s="115" t="inlineStr">
        <is>
          <t>Subscriptions</t>
        </is>
      </c>
      <c r="C45" s="846" t="n"/>
      <c r="D45" s="1060" t="n"/>
      <c r="E45" s="1086" t="n">
        <v>80</v>
      </c>
      <c r="F45" s="1058" t="n"/>
      <c r="G45" s="1067">
        <f>E45*12</f>
        <v/>
      </c>
      <c r="H45" s="302" t="n"/>
      <c r="I45" s="292" t="n"/>
      <c r="J45" s="292" t="n"/>
      <c r="K45" s="292" t="n"/>
      <c r="L45" s="292" t="n"/>
      <c r="M45" s="292" t="n"/>
      <c r="N45" s="292" t="n"/>
      <c r="O45" s="292" t="n"/>
      <c r="P45" s="292" t="n"/>
      <c r="Q45" s="233" t="n"/>
      <c r="R45" s="292" t="n"/>
      <c r="S45" s="292" t="n"/>
    </row>
    <row r="46">
      <c r="A46" s="302" t="n"/>
      <c r="B46" s="109" t="inlineStr">
        <is>
          <t>Clothing</t>
        </is>
      </c>
      <c r="C46" s="842" t="n"/>
      <c r="D46" s="1056" t="n"/>
      <c r="E46" s="1086" t="n">
        <v>100</v>
      </c>
      <c r="F46" s="1058" t="n"/>
      <c r="G46" s="1067">
        <f>E46*12</f>
        <v/>
      </c>
      <c r="H46" s="302" t="n"/>
      <c r="I46" s="292" t="n"/>
      <c r="J46" s="292" t="n"/>
      <c r="K46" s="292" t="n"/>
      <c r="L46" s="292" t="n"/>
      <c r="M46" s="292" t="n"/>
      <c r="N46" s="292" t="n"/>
      <c r="O46" s="292" t="n"/>
      <c r="P46" s="292" t="n"/>
      <c r="Q46" s="233" t="n"/>
      <c r="R46" s="292" t="n"/>
      <c r="S46" s="292" t="n"/>
    </row>
    <row r="47">
      <c r="A47" s="302" t="n"/>
      <c r="B47" s="109" t="inlineStr">
        <is>
          <t>Leisure and entertainment</t>
        </is>
      </c>
      <c r="C47" s="842" t="n"/>
      <c r="D47" s="1056" t="n"/>
      <c r="E47" s="1086" t="n">
        <v>200</v>
      </c>
      <c r="F47" s="1058" t="n"/>
      <c r="G47" s="1062">
        <f>E47*12</f>
        <v/>
      </c>
      <c r="H47" s="302" t="n"/>
      <c r="I47" s="292" t="n"/>
      <c r="J47" s="292" t="n"/>
      <c r="K47" s="292" t="n"/>
      <c r="L47" s="292" t="n"/>
      <c r="M47" s="292" t="n"/>
      <c r="N47" s="292" t="n"/>
      <c r="O47" s="292" t="n"/>
      <c r="P47" s="292" t="n"/>
      <c r="Q47" s="233" t="n"/>
      <c r="R47" s="292" t="n"/>
      <c r="S47" s="292" t="n"/>
    </row>
    <row r="48">
      <c r="A48" s="302" t="n"/>
      <c r="B48" s="109" t="inlineStr">
        <is>
          <t>Money put into savings</t>
        </is>
      </c>
      <c r="C48" s="842" t="n"/>
      <c r="D48" s="1056" t="n"/>
      <c r="E48" s="1086" t="n">
        <v>500</v>
      </c>
      <c r="F48" s="1058" t="n"/>
      <c r="G48" s="1067">
        <f>E48*12</f>
        <v/>
      </c>
      <c r="H48" s="302" t="n"/>
      <c r="I48" s="292" t="n"/>
      <c r="J48" s="292" t="n"/>
      <c r="K48" s="292" t="n"/>
      <c r="L48" s="292" t="n"/>
      <c r="M48" s="292" t="n"/>
      <c r="N48" s="292" t="n"/>
      <c r="O48" s="292" t="n"/>
      <c r="P48" s="292" t="n"/>
      <c r="Q48" s="233" t="n"/>
      <c r="R48" s="292" t="n"/>
      <c r="S48" s="292" t="n"/>
    </row>
    <row r="49">
      <c r="A49" s="302" t="n"/>
      <c r="B49" s="109" t="inlineStr">
        <is>
          <t>Credit commitments (loans, credit cards etc)</t>
        </is>
      </c>
      <c r="C49" s="842" t="n"/>
      <c r="D49" s="1056" t="n"/>
      <c r="E49" s="1086" t="n">
        <v>0</v>
      </c>
      <c r="F49" s="1058" t="n"/>
      <c r="G49" s="1067">
        <f>E49*12</f>
        <v/>
      </c>
      <c r="H49" s="302" t="n"/>
      <c r="I49" s="292" t="n"/>
      <c r="J49" s="292" t="n"/>
      <c r="K49" s="292" t="n"/>
      <c r="L49" s="292" t="n"/>
      <c r="M49" s="292" t="n"/>
      <c r="N49" s="292" t="n"/>
      <c r="O49" s="292" t="n"/>
      <c r="P49" s="292" t="n"/>
      <c r="Q49" s="233" t="n"/>
      <c r="R49" s="292" t="n"/>
      <c r="S49" s="292" t="n"/>
    </row>
    <row r="50">
      <c r="A50" s="302" t="n"/>
      <c r="B50" s="113" t="inlineStr">
        <is>
          <t>Enter other</t>
        </is>
      </c>
      <c r="C50" s="844" t="n"/>
      <c r="D50" s="1065" t="n"/>
      <c r="E50" s="1086" t="n">
        <v>0</v>
      </c>
      <c r="F50" s="1058" t="n"/>
      <c r="G50" s="1062">
        <f>E50*12</f>
        <v/>
      </c>
      <c r="H50" s="302" t="n"/>
      <c r="I50" s="292" t="n"/>
      <c r="J50" s="292" t="n"/>
      <c r="K50" s="292" t="n"/>
      <c r="L50" s="292" t="n"/>
      <c r="M50" s="292" t="n"/>
      <c r="N50" s="292" t="n"/>
      <c r="O50" s="292" t="n"/>
      <c r="P50" s="292" t="n"/>
      <c r="Q50" s="233" t="n"/>
      <c r="R50" s="292" t="n"/>
      <c r="S50" s="292" t="n"/>
    </row>
    <row r="51">
      <c r="A51" s="302" t="n"/>
      <c r="B51" s="113" t="inlineStr">
        <is>
          <t>Enter other</t>
        </is>
      </c>
      <c r="C51" s="842" t="n"/>
      <c r="D51" s="1056" t="n"/>
      <c r="E51" s="1086" t="n">
        <v>0</v>
      </c>
      <c r="F51" s="1058" t="n"/>
      <c r="G51" s="1088">
        <f>E51*12</f>
        <v/>
      </c>
      <c r="H51" s="302" t="n"/>
      <c r="I51" s="292" t="n"/>
      <c r="J51" s="292" t="n"/>
      <c r="K51" s="292" t="n"/>
      <c r="L51" s="292" t="n"/>
      <c r="M51" s="292" t="n"/>
      <c r="N51" s="292" t="n"/>
      <c r="O51" s="292" t="n"/>
      <c r="P51" s="292" t="n"/>
      <c r="Q51" s="233" t="n"/>
      <c r="R51" s="292" t="n"/>
      <c r="S51" s="292" t="n"/>
    </row>
    <row r="52">
      <c r="A52" s="302" t="n"/>
      <c r="B52" s="113" t="inlineStr">
        <is>
          <t>Enter other</t>
        </is>
      </c>
      <c r="C52" s="842" t="n"/>
      <c r="D52" s="1056" t="n"/>
      <c r="E52" s="1086" t="n">
        <v>0</v>
      </c>
      <c r="F52" s="1058" t="n"/>
      <c r="G52" s="1088">
        <f>E52*12</f>
        <v/>
      </c>
      <c r="H52" s="302" t="n"/>
      <c r="I52" s="292" t="n"/>
      <c r="J52" s="292" t="n"/>
      <c r="K52" s="292" t="n"/>
      <c r="L52" s="292" t="n"/>
      <c r="M52" s="292" t="n"/>
      <c r="N52" s="292" t="n"/>
      <c r="O52" s="292" t="n"/>
      <c r="P52" s="292" t="n"/>
      <c r="Q52" s="233" t="n"/>
      <c r="R52" s="292" t="n"/>
      <c r="S52" s="292" t="n"/>
    </row>
    <row r="53">
      <c r="A53" s="302" t="n"/>
      <c r="B53" s="113" t="inlineStr">
        <is>
          <t>Enter other</t>
        </is>
      </c>
      <c r="C53" s="842" t="n"/>
      <c r="D53" s="1056" t="n"/>
      <c r="E53" s="1086" t="n">
        <v>0</v>
      </c>
      <c r="F53" s="1058" t="n"/>
      <c r="G53" s="1088">
        <f>E53*12</f>
        <v/>
      </c>
      <c r="H53" s="302" t="n"/>
      <c r="I53" s="292" t="n"/>
      <c r="J53" s="292" t="n"/>
      <c r="K53" s="292" t="n"/>
      <c r="L53" s="292" t="n"/>
      <c r="M53" s="292" t="n"/>
      <c r="N53" s="292" t="n"/>
      <c r="O53" s="292" t="n"/>
      <c r="P53" s="292" t="n"/>
      <c r="Q53" s="233" t="n"/>
      <c r="R53" s="292" t="n"/>
      <c r="S53" s="292" t="n"/>
    </row>
    <row r="54">
      <c r="A54" s="302" t="n"/>
      <c r="B54" s="113" t="inlineStr">
        <is>
          <t>Enter other</t>
        </is>
      </c>
      <c r="C54" s="842" t="n"/>
      <c r="D54" s="1056" t="n"/>
      <c r="E54" s="1086" t="n">
        <v>0</v>
      </c>
      <c r="F54" s="1058" t="n"/>
      <c r="G54" s="1088">
        <f>E54*12</f>
        <v/>
      </c>
      <c r="H54" s="302" t="n"/>
      <c r="I54" s="292" t="n"/>
      <c r="J54" s="292" t="n"/>
      <c r="K54" s="292" t="n"/>
      <c r="L54" s="292" t="n"/>
      <c r="M54" s="292" t="n"/>
      <c r="N54" s="292" t="n"/>
      <c r="O54" s="292" t="n"/>
      <c r="P54" s="292" t="n"/>
      <c r="Q54" s="233" t="n"/>
      <c r="R54" s="292" t="n"/>
      <c r="S54" s="292" t="n"/>
    </row>
    <row r="55">
      <c r="A55" s="302" t="n"/>
      <c r="B55" s="113" t="inlineStr">
        <is>
          <t>Enter other</t>
        </is>
      </c>
      <c r="C55" s="1089" t="n"/>
      <c r="D55" s="1056" t="n"/>
      <c r="E55" s="1086" t="n">
        <v>0</v>
      </c>
      <c r="F55" s="1058" t="n"/>
      <c r="G55" s="1064">
        <f>E55*12</f>
        <v/>
      </c>
      <c r="H55" s="302" t="n"/>
      <c r="I55" s="292" t="n"/>
      <c r="J55" s="292" t="n"/>
      <c r="K55" s="292" t="n"/>
      <c r="L55" s="292" t="n"/>
      <c r="M55" s="292" t="n"/>
      <c r="N55" s="292" t="n"/>
      <c r="O55" s="292" t="n"/>
      <c r="P55" s="292" t="n"/>
      <c r="Q55" s="233" t="n"/>
      <c r="R55" s="292" t="n"/>
      <c r="S55" s="292" t="n"/>
    </row>
    <row r="56" ht="14.5" customHeight="1" thickBot="1">
      <c r="A56" s="302" t="n"/>
      <c r="B56" s="113" t="inlineStr">
        <is>
          <t>Enter other</t>
        </is>
      </c>
      <c r="C56" s="859" t="n"/>
      <c r="D56" s="1090" t="n"/>
      <c r="E56" s="1091" t="n">
        <v>0</v>
      </c>
      <c r="F56" s="1058" t="n"/>
      <c r="G56" s="1092">
        <f>E56*12</f>
        <v/>
      </c>
      <c r="H56" s="302" t="n"/>
      <c r="I56" s="292" t="n"/>
      <c r="J56" s="292" t="n"/>
      <c r="K56" s="292" t="n"/>
      <c r="L56" s="292" t="n"/>
      <c r="M56" s="292" t="n"/>
      <c r="N56" s="292" t="n"/>
      <c r="O56" s="292" t="n"/>
      <c r="P56" s="292" t="n"/>
      <c r="Q56" s="233" t="n"/>
      <c r="R56" s="292" t="n"/>
      <c r="S56" s="292" t="n"/>
    </row>
    <row r="57" ht="15" customHeight="1" thickBot="1">
      <c r="A57" s="302" t="n"/>
      <c r="B57" s="1093" t="inlineStr">
        <is>
          <t>Total expenses across all areas:</t>
        </is>
      </c>
      <c r="C57" s="949" t="n"/>
      <c r="D57" s="1094" t="n"/>
      <c r="E57" s="1095">
        <f>SUM(E36:E56)</f>
        <v/>
      </c>
      <c r="F57" s="1058" t="n"/>
      <c r="G57" s="1079">
        <f>SUM(G36:G56)</f>
        <v/>
      </c>
      <c r="H57" s="302" t="n"/>
      <c r="I57" s="292" t="n"/>
      <c r="J57" s="292" t="n"/>
      <c r="K57" s="292" t="n"/>
      <c r="L57" s="292" t="n"/>
      <c r="M57" s="292" t="n"/>
      <c r="N57" s="292" t="n"/>
      <c r="O57" s="292" t="n"/>
      <c r="P57" s="292" t="n"/>
      <c r="Q57" s="292" t="n"/>
      <c r="R57" s="292" t="n"/>
      <c r="S57" s="292" t="n"/>
    </row>
    <row r="58" ht="31.5" customHeight="1" thickBot="1">
      <c r="A58" s="302" t="n"/>
      <c r="B58" s="302" t="n"/>
      <c r="C58" s="302" t="n"/>
      <c r="D58" s="302" t="n"/>
      <c r="E58" s="1096" t="n"/>
      <c r="F58" s="1081" t="n"/>
      <c r="G58" s="1096" t="n"/>
      <c r="H58" s="302" t="n"/>
      <c r="I58" s="292" t="n"/>
      <c r="J58" s="292" t="n"/>
      <c r="K58" s="292" t="n"/>
      <c r="L58" s="292" t="n"/>
      <c r="M58" s="292" t="n"/>
      <c r="N58" s="292" t="n"/>
      <c r="O58" s="292" t="n"/>
      <c r="P58" s="292" t="n"/>
      <c r="Q58" s="292" t="n"/>
      <c r="R58" s="292" t="n"/>
      <c r="S58" s="292" t="n"/>
    </row>
    <row r="59" ht="31.5" customHeight="1">
      <c r="A59" s="302" t="n"/>
      <c r="B59" s="302" t="n"/>
      <c r="C59" s="302" t="n"/>
      <c r="D59" s="302" t="n"/>
      <c r="E59" s="1097" t="inlineStr">
        <is>
          <t>YOUR MONTHLY BALANCE</t>
        </is>
      </c>
      <c r="F59" s="1080" t="n"/>
      <c r="G59" s="1097" t="inlineStr">
        <is>
          <t>YOUR ANNUAL BALANCE</t>
        </is>
      </c>
      <c r="H59" s="302" t="n"/>
      <c r="I59" s="292" t="n"/>
      <c r="J59" s="292" t="n"/>
      <c r="K59" s="292" t="n"/>
      <c r="L59" s="292" t="n"/>
      <c r="M59" s="292" t="n"/>
      <c r="N59" s="292" t="n"/>
      <c r="O59" s="292" t="n"/>
      <c r="P59" s="292" t="n"/>
      <c r="Q59" s="292" t="n"/>
      <c r="R59" s="292" t="n"/>
      <c r="S59" s="292" t="n"/>
    </row>
    <row r="60" ht="28.5" customFormat="1" customHeight="1" s="238" thickBot="1">
      <c r="A60" s="235" t="n"/>
      <c r="B60" s="302" t="n"/>
      <c r="C60" s="302" t="n"/>
      <c r="D60" s="302" t="n"/>
      <c r="E60" s="1098">
        <f>E33-E57</f>
        <v/>
      </c>
      <c r="F60" s="1099" t="n"/>
      <c r="G60" s="1098">
        <f>G33-G57</f>
        <v/>
      </c>
      <c r="H60" s="236" t="n"/>
      <c r="I60" s="237" t="n"/>
      <c r="J60" s="237" t="n"/>
      <c r="K60" s="237" t="n"/>
      <c r="L60" s="237" t="n"/>
      <c r="M60" s="237" t="n"/>
      <c r="N60" s="237" t="n"/>
      <c r="O60" s="237" t="n"/>
      <c r="P60" s="237" t="n"/>
      <c r="Q60" s="237" t="n"/>
      <c r="R60" s="237" t="n"/>
      <c r="S60" s="237" t="n"/>
    </row>
    <row r="61" customFormat="1" s="225">
      <c r="A61" s="302" t="n"/>
      <c r="B61" s="302" t="n"/>
      <c r="C61" s="302" t="n"/>
      <c r="D61" s="302" t="n"/>
      <c r="E61" s="307" t="n"/>
      <c r="F61" s="302" t="n"/>
      <c r="G61" s="302" t="n"/>
      <c r="H61" s="302" t="n"/>
      <c r="I61" s="302" t="n"/>
      <c r="J61" s="302" t="n"/>
      <c r="K61" s="302" t="n"/>
      <c r="L61" s="302" t="n"/>
      <c r="M61" s="302" t="n"/>
      <c r="N61" s="302" t="n"/>
      <c r="O61" s="302" t="n"/>
      <c r="P61" s="302" t="n"/>
      <c r="Q61" s="302" t="n"/>
      <c r="R61" s="302" t="n"/>
      <c r="S61" s="302" t="n"/>
    </row>
    <row r="62" ht="14.5" customFormat="1" customHeight="1" s="225" thickBot="1">
      <c r="A62" s="302" t="n"/>
      <c r="B62" s="302" t="n"/>
      <c r="C62" s="302" t="n"/>
      <c r="D62" s="302" t="n"/>
      <c r="E62" s="302" t="n"/>
      <c r="F62" s="302" t="n"/>
      <c r="G62" s="302" t="n"/>
      <c r="H62" s="302" t="n"/>
      <c r="I62" s="302" t="n"/>
      <c r="J62" s="302" t="n"/>
      <c r="K62" s="302" t="n"/>
      <c r="L62" s="302" t="n"/>
      <c r="M62" s="302" t="n"/>
      <c r="N62" s="302" t="n"/>
      <c r="O62" s="302" t="n"/>
      <c r="P62" s="302" t="n"/>
      <c r="Q62" s="302" t="n"/>
      <c r="R62" s="302" t="n"/>
      <c r="S62" s="302" t="n"/>
    </row>
    <row r="63" ht="18.5" customFormat="1" customHeight="1" s="225" thickBot="1">
      <c r="A63" s="302" t="n"/>
      <c r="B63" s="1100" t="inlineStr">
        <is>
          <t>Your notes or commentary</t>
        </is>
      </c>
      <c r="C63" s="921" t="n"/>
      <c r="D63" s="921" t="n"/>
      <c r="E63" s="921" t="n"/>
      <c r="F63" s="921" t="n"/>
      <c r="G63" s="922" t="n"/>
      <c r="H63" s="302" t="n"/>
      <c r="I63" s="302" t="n"/>
      <c r="J63" s="302" t="n"/>
      <c r="K63" s="302" t="n"/>
      <c r="L63" s="302" t="n"/>
      <c r="M63" s="302" t="n"/>
      <c r="N63" s="302" t="n"/>
      <c r="O63" s="302" t="n"/>
      <c r="P63" s="302" t="n"/>
      <c r="Q63" s="302" t="n"/>
      <c r="R63" s="302" t="n"/>
      <c r="S63" s="302" t="n"/>
    </row>
    <row r="64" ht="14.5" customFormat="1" customHeight="1" s="225" thickBot="1">
      <c r="A64" s="302" t="n"/>
      <c r="B64" s="1101" t="inlineStr">
        <is>
          <t>Use this space to explain any of the information you have provided in the fields above.</t>
        </is>
      </c>
      <c r="C64" s="949" t="n"/>
      <c r="D64" s="949" t="n"/>
      <c r="E64" s="949" t="n"/>
      <c r="F64" s="949" t="n"/>
      <c r="G64" s="950" t="n"/>
      <c r="H64" s="302" t="n"/>
      <c r="I64" s="302" t="n"/>
      <c r="J64" s="302" t="n"/>
      <c r="K64" s="302" t="n"/>
      <c r="L64" s="302" t="n"/>
      <c r="M64" s="302" t="n"/>
      <c r="N64" s="302" t="n"/>
      <c r="O64" s="302" t="n"/>
      <c r="P64" s="302" t="n"/>
      <c r="Q64" s="302" t="n"/>
      <c r="R64" s="302" t="n"/>
      <c r="S64" s="302" t="n"/>
    </row>
    <row r="65" ht="114.75" customFormat="1" customHeight="1" s="225" thickBot="1">
      <c r="A65" s="302" t="n"/>
      <c r="B65" s="1102" t="inlineStr">
        <is>
          <t>Remain in full-time employment at Meta (base salary £154,000 p.a.) building SOLUM alongside current role. All personal expenses including mortgage (£3,200/mo) and car (£1,000/mo) covered by employment salary with £2,046/month surplus. No salary draw from SOLUM planned in Year 1. Start Up Loan repayment (~£1,108/month) fully serviceable from personal salary with no reliance on business income. Annual bonus (~£30,800) and Meta RSU vesting (~£49,000/year) provide additional financial resilience not reflected in monthly figures.</t>
        </is>
      </c>
      <c r="C65" s="942" t="n"/>
      <c r="D65" s="942" t="n"/>
      <c r="E65" s="942" t="n"/>
      <c r="F65" s="942" t="n"/>
      <c r="G65" s="943" t="n"/>
      <c r="H65" s="302" t="n"/>
      <c r="I65" s="302" t="n"/>
      <c r="J65" s="302" t="n"/>
      <c r="K65" s="302" t="n"/>
      <c r="L65" s="302" t="n"/>
      <c r="M65" s="302" t="n"/>
      <c r="N65" s="302" t="n"/>
      <c r="O65" s="302" t="n"/>
      <c r="P65" s="302" t="n"/>
      <c r="Q65" s="302" t="n"/>
      <c r="R65" s="302" t="n"/>
      <c r="S65" s="302" t="n"/>
    </row>
    <row r="66" customFormat="1" s="225">
      <c r="A66" s="302" t="n"/>
      <c r="B66" s="6" t="n"/>
      <c r="C66" s="6" t="n"/>
      <c r="D66" s="6" t="n"/>
      <c r="E66" s="302" t="n"/>
      <c r="F66" s="302" t="n"/>
      <c r="G66" s="302" t="n"/>
      <c r="H66" s="302" t="n"/>
      <c r="I66" s="302" t="n"/>
      <c r="J66" s="239" t="n"/>
      <c r="K66" s="302" t="n"/>
      <c r="L66" s="302" t="n"/>
      <c r="M66" s="302" t="n"/>
      <c r="N66" s="302" t="n"/>
      <c r="O66" s="302" t="n"/>
      <c r="P66" s="302" t="n"/>
      <c r="Q66" s="302" t="n"/>
      <c r="R66" s="302" t="n"/>
      <c r="S66" s="302" t="n"/>
    </row>
    <row r="67" customFormat="1" s="225">
      <c r="A67" s="302" t="n"/>
      <c r="B67" s="302" t="n"/>
      <c r="C67" s="302" t="n"/>
      <c r="D67" s="302" t="n"/>
      <c r="E67" s="302" t="n"/>
      <c r="F67" s="302" t="n"/>
      <c r="G67" s="302" t="n"/>
      <c r="H67" s="302" t="n"/>
      <c r="I67" s="302" t="n"/>
      <c r="J67" s="302" t="n"/>
      <c r="K67" s="302" t="n"/>
      <c r="L67" s="302" t="n"/>
      <c r="M67" s="302" t="n"/>
      <c r="N67" s="302" t="n"/>
      <c r="O67" s="302" t="n"/>
      <c r="P67" s="302" t="n"/>
      <c r="Q67" s="302" t="n"/>
      <c r="R67" s="302" t="n"/>
      <c r="S67" s="302" t="n"/>
    </row>
    <row r="68" customFormat="1" s="225">
      <c r="A68" s="302" t="n"/>
      <c r="B68" s="302" t="n"/>
      <c r="C68" s="302" t="n"/>
      <c r="D68" s="302" t="n"/>
      <c r="E68" s="302" t="n"/>
      <c r="F68" s="302" t="n"/>
      <c r="G68" s="302" t="n"/>
      <c r="H68" s="302" t="n"/>
      <c r="I68" s="302" t="n"/>
      <c r="J68" s="302" t="n"/>
      <c r="K68" s="302" t="n"/>
      <c r="L68" s="302" t="n"/>
      <c r="M68" s="302" t="n"/>
      <c r="N68" s="302" t="n"/>
      <c r="O68" s="302" t="n"/>
      <c r="P68" s="302" t="n"/>
      <c r="Q68" s="302" t="n"/>
      <c r="R68" s="302" t="n"/>
      <c r="S68" s="302" t="n"/>
    </row>
    <row r="69" customFormat="1" s="225">
      <c r="A69" s="302" t="n"/>
      <c r="B69" s="302" t="n"/>
      <c r="C69" s="302" t="n"/>
      <c r="D69" s="302" t="n"/>
      <c r="E69" s="302" t="n"/>
      <c r="F69" s="302" t="n"/>
      <c r="G69" s="302" t="n"/>
      <c r="H69" s="302" t="n"/>
      <c r="I69" s="302" t="n"/>
      <c r="J69" s="302" t="n"/>
      <c r="K69" s="302" t="n"/>
      <c r="L69" s="302" t="n"/>
      <c r="M69" s="302" t="n"/>
      <c r="N69" s="302" t="n"/>
      <c r="O69" s="302" t="n"/>
      <c r="P69" s="302" t="n"/>
      <c r="Q69" s="302" t="n"/>
      <c r="R69" s="302" t="n"/>
      <c r="S69" s="302" t="n"/>
    </row>
    <row r="70" customFormat="1" s="225">
      <c r="A70" s="302" t="n"/>
      <c r="B70" s="302" t="n"/>
      <c r="C70" s="302" t="n"/>
      <c r="D70" s="302" t="n"/>
      <c r="E70" s="302" t="n"/>
      <c r="F70" s="302" t="n"/>
      <c r="G70" s="302" t="n"/>
      <c r="H70" s="302" t="n"/>
      <c r="I70" s="302" t="n"/>
      <c r="J70" s="302" t="n"/>
      <c r="K70" s="302" t="n"/>
      <c r="L70" s="302" t="n"/>
      <c r="M70" s="302" t="n"/>
      <c r="N70" s="302" t="n"/>
      <c r="O70" s="302" t="n"/>
      <c r="P70" s="302" t="n"/>
      <c r="Q70" s="302" t="n"/>
      <c r="R70" s="302" t="n"/>
      <c r="S70" s="302" t="n"/>
    </row>
    <row r="71" customFormat="1" s="225">
      <c r="A71" s="302" t="n"/>
      <c r="B71" s="302" t="n"/>
      <c r="C71" s="302" t="n"/>
      <c r="D71" s="302" t="n"/>
      <c r="E71" s="302" t="n"/>
      <c r="F71" s="302" t="n"/>
      <c r="G71" s="302" t="n"/>
      <c r="H71" s="302" t="n"/>
      <c r="I71" s="302" t="n"/>
      <c r="J71" s="302" t="n"/>
      <c r="K71" s="302" t="n"/>
      <c r="L71" s="302" t="n"/>
      <c r="M71" s="302" t="n"/>
      <c r="N71" s="302" t="n"/>
      <c r="O71" s="302" t="n"/>
      <c r="P71" s="302" t="n"/>
      <c r="Q71" s="302" t="n"/>
      <c r="R71" s="302" t="n"/>
      <c r="S71" s="302" t="n"/>
    </row>
    <row r="72" customFormat="1" s="225">
      <c r="A72" s="302" t="n"/>
      <c r="B72" s="302" t="n"/>
      <c r="C72" s="302" t="n"/>
      <c r="D72" s="302" t="n"/>
      <c r="E72" s="302" t="n"/>
      <c r="F72" s="302" t="n"/>
      <c r="G72" s="302" t="n"/>
      <c r="H72" s="302" t="n"/>
      <c r="I72" s="302" t="n"/>
      <c r="J72" s="302" t="n"/>
      <c r="K72" s="302" t="n"/>
      <c r="L72" s="302" t="n"/>
      <c r="M72" s="302" t="n"/>
      <c r="N72" s="302" t="n"/>
      <c r="O72" s="302" t="n"/>
      <c r="P72" s="302" t="n"/>
      <c r="Q72" s="302" t="n"/>
      <c r="R72" s="302" t="n"/>
      <c r="S72" s="302" t="n"/>
    </row>
    <row r="73" customFormat="1" s="225">
      <c r="A73" s="302" t="n"/>
      <c r="B73" s="302" t="n"/>
      <c r="C73" s="302" t="n"/>
      <c r="D73" s="302" t="n"/>
      <c r="E73" s="302" t="n"/>
      <c r="F73" s="302" t="n"/>
      <c r="G73" s="302" t="n"/>
      <c r="H73" s="302" t="n"/>
      <c r="I73" s="302" t="n"/>
      <c r="J73" s="302" t="n"/>
      <c r="K73" s="302" t="n"/>
      <c r="L73" s="302" t="n"/>
      <c r="M73" s="302" t="n"/>
      <c r="N73" s="302" t="n"/>
      <c r="O73" s="302" t="n"/>
      <c r="P73" s="302" t="n"/>
      <c r="Q73" s="302" t="n"/>
      <c r="R73" s="302" t="n"/>
      <c r="S73" s="302" t="n"/>
    </row>
    <row r="74" customFormat="1" s="225">
      <c r="A74" s="302" t="n"/>
      <c r="B74" s="302" t="n"/>
      <c r="C74" s="302" t="n"/>
      <c r="D74" s="302" t="n"/>
      <c r="E74" s="302" t="n"/>
      <c r="F74" s="302" t="n"/>
      <c r="G74" s="302" t="n"/>
      <c r="H74" s="302" t="n"/>
      <c r="I74" s="302" t="n"/>
      <c r="J74" s="302" t="n"/>
      <c r="K74" s="302" t="n"/>
      <c r="L74" s="302" t="n"/>
      <c r="M74" s="302" t="n"/>
      <c r="N74" s="302" t="n"/>
      <c r="O74" s="302" t="n"/>
      <c r="P74" s="302" t="n"/>
      <c r="Q74" s="302" t="n"/>
      <c r="R74" s="302" t="n"/>
      <c r="S74" s="302" t="n"/>
    </row>
    <row r="75">
      <c r="A75" s="302" t="n"/>
      <c r="B75" s="292" t="n"/>
      <c r="C75" s="292" t="n"/>
      <c r="D75" s="292" t="n"/>
      <c r="E75" s="292" t="n"/>
      <c r="F75" s="292" t="n"/>
      <c r="G75" s="292" t="n"/>
      <c r="H75" s="302" t="n"/>
      <c r="I75" s="292" t="n"/>
      <c r="J75" s="292" t="n"/>
      <c r="K75" s="292" t="n"/>
      <c r="L75" s="292" t="n"/>
      <c r="M75" s="292" t="n"/>
      <c r="N75" s="292" t="n"/>
      <c r="O75" s="292" t="n"/>
      <c r="P75" s="292" t="n"/>
      <c r="Q75" s="292" t="n"/>
      <c r="R75" s="292" t="n"/>
      <c r="S75" s="292" t="n"/>
    </row>
    <row r="76">
      <c r="A76" s="302" t="n"/>
      <c r="B76" s="292" t="n"/>
      <c r="C76" s="292" t="n"/>
      <c r="D76" s="292" t="n"/>
      <c r="E76" s="292" t="n"/>
      <c r="F76" s="292" t="n"/>
      <c r="G76" s="292" t="n"/>
      <c r="H76" s="302" t="n"/>
      <c r="I76" s="292" t="n"/>
      <c r="J76" s="292" t="n"/>
      <c r="K76" s="292" t="n"/>
      <c r="L76" s="292" t="n"/>
      <c r="M76" s="292" t="n"/>
      <c r="N76" s="292" t="n"/>
      <c r="O76" s="292" t="n"/>
      <c r="P76" s="292" t="n"/>
      <c r="Q76" s="292" t="n"/>
      <c r="R76" s="292" t="n"/>
      <c r="S76" s="292" t="n"/>
    </row>
    <row r="77">
      <c r="A77" s="302" t="n"/>
      <c r="B77" s="292" t="n"/>
      <c r="C77" s="292" t="n"/>
      <c r="D77" s="292" t="n"/>
      <c r="E77" s="292" t="n"/>
      <c r="F77" s="292" t="n"/>
      <c r="G77" s="292" t="n"/>
      <c r="H77" s="302" t="n"/>
      <c r="I77" s="292" t="n"/>
      <c r="J77" s="292" t="n"/>
      <c r="K77" s="292" t="n"/>
      <c r="L77" s="292" t="n"/>
      <c r="M77" s="292" t="n"/>
      <c r="N77" s="292" t="n"/>
      <c r="O77" s="292" t="n"/>
      <c r="P77" s="292" t="n"/>
      <c r="Q77" s="292" t="n"/>
      <c r="R77" s="292" t="n"/>
      <c r="S77" s="292" t="n"/>
    </row>
  </sheetData>
  <mergeCells count="39">
    <mergeCell ref="C30:D30"/>
    <mergeCell ref="C24:D24"/>
    <mergeCell ref="B57:D57"/>
    <mergeCell ref="C6:J6"/>
    <mergeCell ref="C42:D42"/>
    <mergeCell ref="C45:D45"/>
    <mergeCell ref="C5:J5"/>
    <mergeCell ref="C26:D26"/>
    <mergeCell ref="C35:D35"/>
    <mergeCell ref="C29:D29"/>
    <mergeCell ref="C47:D47"/>
    <mergeCell ref="C54:D54"/>
    <mergeCell ref="C25:D25"/>
    <mergeCell ref="C41:D41"/>
    <mergeCell ref="C55:D55"/>
    <mergeCell ref="C50:D50"/>
    <mergeCell ref="B65:G65"/>
    <mergeCell ref="C44:D44"/>
    <mergeCell ref="C40:D40"/>
    <mergeCell ref="C31:D31"/>
    <mergeCell ref="B64:G64"/>
    <mergeCell ref="B8:G18"/>
    <mergeCell ref="C56:D56"/>
    <mergeCell ref="B33:D33"/>
    <mergeCell ref="C43:D43"/>
    <mergeCell ref="C46:D46"/>
    <mergeCell ref="C51:D51"/>
    <mergeCell ref="B63:G63"/>
    <mergeCell ref="C27:D27"/>
    <mergeCell ref="C36:D36"/>
    <mergeCell ref="C52:D52"/>
    <mergeCell ref="C48:D48"/>
    <mergeCell ref="C39:D39"/>
    <mergeCell ref="C32:D32"/>
    <mergeCell ref="C38:D38"/>
    <mergeCell ref="C37:D37"/>
    <mergeCell ref="C28:D28"/>
    <mergeCell ref="C53:D53"/>
    <mergeCell ref="C49:D49"/>
  </mergeCells>
  <printOptions horizontalCentered="1"/>
  <pageMargins left="0.1181102362204725" right="0.1181102362204725" top="0.3543307086614174" bottom="0.1574803149606299" header="0.1181102362204725" footer="0.1181102362204725"/>
  <pageSetup orientation="portrait" paperSize="9" scale="56"/>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theme="9"/>
    <outlinePr summaryBelow="1" summaryRight="1"/>
    <pageSetUpPr/>
  </sheetPr>
  <dimension ref="A1:AI107"/>
  <sheetViews>
    <sheetView zoomScale="80" zoomScaleNormal="80" zoomScaleSheetLayoutView="100" workbookViewId="0">
      <selection activeCell="M8" sqref="M8"/>
    </sheetView>
  </sheetViews>
  <sheetFormatPr baseColWidth="8" defaultRowHeight="14"/>
  <cols>
    <col width="3.5" customWidth="1" style="240" min="1" max="1"/>
    <col width="30" customWidth="1" style="241" min="2" max="2"/>
    <col width="25.58203125" customWidth="1" style="241" min="3" max="6"/>
    <col width="23.83203125" customWidth="1" style="241" min="7" max="7"/>
    <col width="25.58203125" customWidth="1" style="241" min="8" max="8"/>
    <col width="5.33203125" customWidth="1" style="241" min="9" max="9"/>
    <col width="33.83203125" customWidth="1" style="241" min="10" max="10"/>
    <col width="4.58203125" customWidth="1" style="262" min="11" max="11"/>
    <col width="19.33203125" customWidth="1" style="262" min="12" max="12"/>
    <col width="16.58203125" customWidth="1" style="240" min="13" max="13"/>
    <col width="18.83203125" customWidth="1" style="240" min="14" max="14"/>
    <col width="16.58203125" customWidth="1" style="240" min="15" max="15"/>
    <col width="8.58203125" customWidth="1" style="240" min="16" max="17"/>
    <col width="17.58203125" customWidth="1" style="240" min="18" max="18"/>
    <col width="8.58203125" customWidth="1" style="240" min="19" max="35"/>
    <col width="8.58203125" customWidth="1" style="241" min="36" max="36"/>
    <col width="7.58203125" customWidth="1" style="241" min="37" max="255"/>
    <col width="1.5" customWidth="1" style="241" min="256" max="256"/>
    <col width="26.5" customWidth="1" style="241" min="257" max="257"/>
    <col width="16.83203125" customWidth="1" style="241" min="258" max="258"/>
    <col width="23.83203125" customWidth="1" style="241" min="259" max="259"/>
    <col width="20.5" customWidth="1" style="241" min="260" max="260"/>
    <col width="23" customWidth="1" style="241" min="261" max="261"/>
    <col width="28.08203125" customWidth="1" style="241" min="262" max="262"/>
    <col width="27.58203125" customWidth="1" style="241" min="263" max="263"/>
    <col width="15.5" customWidth="1" style="241" min="264" max="264"/>
    <col width="2" customWidth="1" style="241" min="265" max="265"/>
    <col width="21.58203125" customWidth="1" style="241" min="266" max="266"/>
    <col width="19" customWidth="1" style="241" min="267" max="267"/>
    <col width="17" customWidth="1" style="241" min="268" max="268"/>
    <col width="14.58203125" customWidth="1" style="241" min="269" max="269"/>
    <col width="16.58203125" customWidth="1" style="241" min="270" max="270"/>
    <col width="14.58203125" bestFit="1" customWidth="1" style="241" min="271" max="271"/>
    <col width="7.58203125" customWidth="1" style="241" min="272" max="273"/>
    <col width="15.5" customWidth="1" style="241" min="274" max="274"/>
    <col width="7.58203125" customWidth="1" style="241" min="275" max="511"/>
    <col width="1.5" customWidth="1" style="241" min="512" max="512"/>
    <col width="26.5" customWidth="1" style="241" min="513" max="513"/>
    <col width="16.83203125" customWidth="1" style="241" min="514" max="514"/>
    <col width="23.83203125" customWidth="1" style="241" min="515" max="515"/>
    <col width="20.5" customWidth="1" style="241" min="516" max="516"/>
    <col width="23" customWidth="1" style="241" min="517" max="517"/>
    <col width="28.08203125" customWidth="1" style="241" min="518" max="518"/>
    <col width="27.58203125" customWidth="1" style="241" min="519" max="519"/>
    <col width="15.5" customWidth="1" style="241" min="520" max="520"/>
    <col width="2" customWidth="1" style="241" min="521" max="521"/>
    <col width="21.58203125" customWidth="1" style="241" min="522" max="522"/>
    <col width="19" customWidth="1" style="241" min="523" max="523"/>
    <col width="17" customWidth="1" style="241" min="524" max="524"/>
    <col width="14.58203125" customWidth="1" style="241" min="525" max="525"/>
    <col width="16.58203125" customWidth="1" style="241" min="526" max="526"/>
    <col width="14.58203125" bestFit="1" customWidth="1" style="241" min="527" max="527"/>
    <col width="7.58203125" customWidth="1" style="241" min="528" max="529"/>
    <col width="15.5" customWidth="1" style="241" min="530" max="530"/>
    <col width="7.58203125" customWidth="1" style="241" min="531" max="767"/>
    <col width="1.5" customWidth="1" style="241" min="768" max="768"/>
    <col width="26.5" customWidth="1" style="241" min="769" max="769"/>
    <col width="16.83203125" customWidth="1" style="241" min="770" max="770"/>
    <col width="23.83203125" customWidth="1" style="241" min="771" max="771"/>
    <col width="20.5" customWidth="1" style="241" min="772" max="772"/>
    <col width="23" customWidth="1" style="241" min="773" max="773"/>
    <col width="28.08203125" customWidth="1" style="241" min="774" max="774"/>
    <col width="27.58203125" customWidth="1" style="241" min="775" max="775"/>
    <col width="15.5" customWidth="1" style="241" min="776" max="776"/>
    <col width="2" customWidth="1" style="241" min="777" max="777"/>
    <col width="21.58203125" customWidth="1" style="241" min="778" max="778"/>
    <col width="19" customWidth="1" style="241" min="779" max="779"/>
    <col width="17" customWidth="1" style="241" min="780" max="780"/>
    <col width="14.58203125" customWidth="1" style="241" min="781" max="781"/>
    <col width="16.58203125" customWidth="1" style="241" min="782" max="782"/>
    <col width="14.58203125" bestFit="1" customWidth="1" style="241" min="783" max="783"/>
    <col width="7.58203125" customWidth="1" style="241" min="784" max="785"/>
    <col width="15.5" customWidth="1" style="241" min="786" max="786"/>
    <col width="7.58203125" customWidth="1" style="241" min="787" max="1023"/>
    <col width="1.5" customWidth="1" style="241" min="1024" max="1024"/>
    <col width="26.5" customWidth="1" style="241" min="1025" max="1025"/>
    <col width="16.83203125" customWidth="1" style="241" min="1026" max="1026"/>
    <col width="23.83203125" customWidth="1" style="241" min="1027" max="1027"/>
    <col width="20.5" customWidth="1" style="241" min="1028" max="1028"/>
    <col width="23" customWidth="1" style="241" min="1029" max="1029"/>
    <col width="28.08203125" customWidth="1" style="241" min="1030" max="1030"/>
    <col width="27.58203125" customWidth="1" style="241" min="1031" max="1031"/>
    <col width="15.5" customWidth="1" style="241" min="1032" max="1032"/>
    <col width="2" customWidth="1" style="241" min="1033" max="1033"/>
    <col width="21.58203125" customWidth="1" style="241" min="1034" max="1034"/>
    <col width="19" customWidth="1" style="241" min="1035" max="1035"/>
    <col width="17" customWidth="1" style="241" min="1036" max="1036"/>
    <col width="14.58203125" customWidth="1" style="241" min="1037" max="1037"/>
    <col width="16.58203125" customWidth="1" style="241" min="1038" max="1038"/>
    <col width="14.58203125" bestFit="1" customWidth="1" style="241" min="1039" max="1039"/>
    <col width="7.58203125" customWidth="1" style="241" min="1040" max="1041"/>
    <col width="15.5" customWidth="1" style="241" min="1042" max="1042"/>
    <col width="7.58203125" customWidth="1" style="241" min="1043" max="1279"/>
    <col width="1.5" customWidth="1" style="241" min="1280" max="1280"/>
    <col width="26.5" customWidth="1" style="241" min="1281" max="1281"/>
    <col width="16.83203125" customWidth="1" style="241" min="1282" max="1282"/>
    <col width="23.83203125" customWidth="1" style="241" min="1283" max="1283"/>
    <col width="20.5" customWidth="1" style="241" min="1284" max="1284"/>
    <col width="23" customWidth="1" style="241" min="1285" max="1285"/>
    <col width="28.08203125" customWidth="1" style="241" min="1286" max="1286"/>
    <col width="27.58203125" customWidth="1" style="241" min="1287" max="1287"/>
    <col width="15.5" customWidth="1" style="241" min="1288" max="1288"/>
    <col width="2" customWidth="1" style="241" min="1289" max="1289"/>
    <col width="21.58203125" customWidth="1" style="241" min="1290" max="1290"/>
    <col width="19" customWidth="1" style="241" min="1291" max="1291"/>
    <col width="17" customWidth="1" style="241" min="1292" max="1292"/>
    <col width="14.58203125" customWidth="1" style="241" min="1293" max="1293"/>
    <col width="16.58203125" customWidth="1" style="241" min="1294" max="1294"/>
    <col width="14.58203125" bestFit="1" customWidth="1" style="241" min="1295" max="1295"/>
    <col width="7.58203125" customWidth="1" style="241" min="1296" max="1297"/>
    <col width="15.5" customWidth="1" style="241" min="1298" max="1298"/>
    <col width="7.58203125" customWidth="1" style="241" min="1299" max="1535"/>
    <col width="1.5" customWidth="1" style="241" min="1536" max="1536"/>
    <col width="26.5" customWidth="1" style="241" min="1537" max="1537"/>
    <col width="16.83203125" customWidth="1" style="241" min="1538" max="1538"/>
    <col width="23.83203125" customWidth="1" style="241" min="1539" max="1539"/>
    <col width="20.5" customWidth="1" style="241" min="1540" max="1540"/>
    <col width="23" customWidth="1" style="241" min="1541" max="1541"/>
    <col width="28.08203125" customWidth="1" style="241" min="1542" max="1542"/>
    <col width="27.58203125" customWidth="1" style="241" min="1543" max="1543"/>
    <col width="15.5" customWidth="1" style="241" min="1544" max="1544"/>
    <col width="2" customWidth="1" style="241" min="1545" max="1545"/>
    <col width="21.58203125" customWidth="1" style="241" min="1546" max="1546"/>
    <col width="19" customWidth="1" style="241" min="1547" max="1547"/>
    <col width="17" customWidth="1" style="241" min="1548" max="1548"/>
    <col width="14.58203125" customWidth="1" style="241" min="1549" max="1549"/>
    <col width="16.58203125" customWidth="1" style="241" min="1550" max="1550"/>
    <col width="14.58203125" bestFit="1" customWidth="1" style="241" min="1551" max="1551"/>
    <col width="7.58203125" customWidth="1" style="241" min="1552" max="1553"/>
    <col width="15.5" customWidth="1" style="241" min="1554" max="1554"/>
    <col width="7.58203125" customWidth="1" style="241" min="1555" max="1791"/>
    <col width="1.5" customWidth="1" style="241" min="1792" max="1792"/>
    <col width="26.5" customWidth="1" style="241" min="1793" max="1793"/>
    <col width="16.83203125" customWidth="1" style="241" min="1794" max="1794"/>
    <col width="23.83203125" customWidth="1" style="241" min="1795" max="1795"/>
    <col width="20.5" customWidth="1" style="241" min="1796" max="1796"/>
    <col width="23" customWidth="1" style="241" min="1797" max="1797"/>
    <col width="28.08203125" customWidth="1" style="241" min="1798" max="1798"/>
    <col width="27.58203125" customWidth="1" style="241" min="1799" max="1799"/>
    <col width="15.5" customWidth="1" style="241" min="1800" max="1800"/>
    <col width="2" customWidth="1" style="241" min="1801" max="1801"/>
    <col width="21.58203125" customWidth="1" style="241" min="1802" max="1802"/>
    <col width="19" customWidth="1" style="241" min="1803" max="1803"/>
    <col width="17" customWidth="1" style="241" min="1804" max="1804"/>
    <col width="14.58203125" customWidth="1" style="241" min="1805" max="1805"/>
    <col width="16.58203125" customWidth="1" style="241" min="1806" max="1806"/>
    <col width="14.58203125" bestFit="1" customWidth="1" style="241" min="1807" max="1807"/>
    <col width="7.58203125" customWidth="1" style="241" min="1808" max="1809"/>
    <col width="15.5" customWidth="1" style="241" min="1810" max="1810"/>
    <col width="7.58203125" customWidth="1" style="241" min="1811" max="2047"/>
    <col width="1.5" customWidth="1" style="241" min="2048" max="2048"/>
    <col width="26.5" customWidth="1" style="241" min="2049" max="2049"/>
    <col width="16.83203125" customWidth="1" style="241" min="2050" max="2050"/>
    <col width="23.83203125" customWidth="1" style="241" min="2051" max="2051"/>
    <col width="20.5" customWidth="1" style="241" min="2052" max="2052"/>
    <col width="23" customWidth="1" style="241" min="2053" max="2053"/>
    <col width="28.08203125" customWidth="1" style="241" min="2054" max="2054"/>
    <col width="27.58203125" customWidth="1" style="241" min="2055" max="2055"/>
    <col width="15.5" customWidth="1" style="241" min="2056" max="2056"/>
    <col width="2" customWidth="1" style="241" min="2057" max="2057"/>
    <col width="21.58203125" customWidth="1" style="241" min="2058" max="2058"/>
    <col width="19" customWidth="1" style="241" min="2059" max="2059"/>
    <col width="17" customWidth="1" style="241" min="2060" max="2060"/>
    <col width="14.58203125" customWidth="1" style="241" min="2061" max="2061"/>
    <col width="16.58203125" customWidth="1" style="241" min="2062" max="2062"/>
    <col width="14.58203125" bestFit="1" customWidth="1" style="241" min="2063" max="2063"/>
    <col width="7.58203125" customWidth="1" style="241" min="2064" max="2065"/>
    <col width="15.5" customWidth="1" style="241" min="2066" max="2066"/>
    <col width="7.58203125" customWidth="1" style="241" min="2067" max="2303"/>
    <col width="1.5" customWidth="1" style="241" min="2304" max="2304"/>
    <col width="26.5" customWidth="1" style="241" min="2305" max="2305"/>
    <col width="16.83203125" customWidth="1" style="241" min="2306" max="2306"/>
    <col width="23.83203125" customWidth="1" style="241" min="2307" max="2307"/>
    <col width="20.5" customWidth="1" style="241" min="2308" max="2308"/>
    <col width="23" customWidth="1" style="241" min="2309" max="2309"/>
    <col width="28.08203125" customWidth="1" style="241" min="2310" max="2310"/>
    <col width="27.58203125" customWidth="1" style="241" min="2311" max="2311"/>
    <col width="15.5" customWidth="1" style="241" min="2312" max="2312"/>
    <col width="2" customWidth="1" style="241" min="2313" max="2313"/>
    <col width="21.58203125" customWidth="1" style="241" min="2314" max="2314"/>
    <col width="19" customWidth="1" style="241" min="2315" max="2315"/>
    <col width="17" customWidth="1" style="241" min="2316" max="2316"/>
    <col width="14.58203125" customWidth="1" style="241" min="2317" max="2317"/>
    <col width="16.58203125" customWidth="1" style="241" min="2318" max="2318"/>
    <col width="14.58203125" bestFit="1" customWidth="1" style="241" min="2319" max="2319"/>
    <col width="7.58203125" customWidth="1" style="241" min="2320" max="2321"/>
    <col width="15.5" customWidth="1" style="241" min="2322" max="2322"/>
    <col width="7.58203125" customWidth="1" style="241" min="2323" max="2559"/>
    <col width="1.5" customWidth="1" style="241" min="2560" max="2560"/>
    <col width="26.5" customWidth="1" style="241" min="2561" max="2561"/>
    <col width="16.83203125" customWidth="1" style="241" min="2562" max="2562"/>
    <col width="23.83203125" customWidth="1" style="241" min="2563" max="2563"/>
    <col width="20.5" customWidth="1" style="241" min="2564" max="2564"/>
    <col width="23" customWidth="1" style="241" min="2565" max="2565"/>
    <col width="28.08203125" customWidth="1" style="241" min="2566" max="2566"/>
    <col width="27.58203125" customWidth="1" style="241" min="2567" max="2567"/>
    <col width="15.5" customWidth="1" style="241" min="2568" max="2568"/>
    <col width="2" customWidth="1" style="241" min="2569" max="2569"/>
    <col width="21.58203125" customWidth="1" style="241" min="2570" max="2570"/>
    <col width="19" customWidth="1" style="241" min="2571" max="2571"/>
    <col width="17" customWidth="1" style="241" min="2572" max="2572"/>
    <col width="14.58203125" customWidth="1" style="241" min="2573" max="2573"/>
    <col width="16.58203125" customWidth="1" style="241" min="2574" max="2574"/>
    <col width="14.58203125" bestFit="1" customWidth="1" style="241" min="2575" max="2575"/>
    <col width="7.58203125" customWidth="1" style="241" min="2576" max="2577"/>
    <col width="15.5" customWidth="1" style="241" min="2578" max="2578"/>
    <col width="7.58203125" customWidth="1" style="241" min="2579" max="2815"/>
    <col width="1.5" customWidth="1" style="241" min="2816" max="2816"/>
    <col width="26.5" customWidth="1" style="241" min="2817" max="2817"/>
    <col width="16.83203125" customWidth="1" style="241" min="2818" max="2818"/>
    <col width="23.83203125" customWidth="1" style="241" min="2819" max="2819"/>
    <col width="20.5" customWidth="1" style="241" min="2820" max="2820"/>
    <col width="23" customWidth="1" style="241" min="2821" max="2821"/>
    <col width="28.08203125" customWidth="1" style="241" min="2822" max="2822"/>
    <col width="27.58203125" customWidth="1" style="241" min="2823" max="2823"/>
    <col width="15.5" customWidth="1" style="241" min="2824" max="2824"/>
    <col width="2" customWidth="1" style="241" min="2825" max="2825"/>
    <col width="21.58203125" customWidth="1" style="241" min="2826" max="2826"/>
    <col width="19" customWidth="1" style="241" min="2827" max="2827"/>
    <col width="17" customWidth="1" style="241" min="2828" max="2828"/>
    <col width="14.58203125" customWidth="1" style="241" min="2829" max="2829"/>
    <col width="16.58203125" customWidth="1" style="241" min="2830" max="2830"/>
    <col width="14.58203125" bestFit="1" customWidth="1" style="241" min="2831" max="2831"/>
    <col width="7.58203125" customWidth="1" style="241" min="2832" max="2833"/>
    <col width="15.5" customWidth="1" style="241" min="2834" max="2834"/>
    <col width="7.58203125" customWidth="1" style="241" min="2835" max="3071"/>
    <col width="1.5" customWidth="1" style="241" min="3072" max="3072"/>
    <col width="26.5" customWidth="1" style="241" min="3073" max="3073"/>
    <col width="16.83203125" customWidth="1" style="241" min="3074" max="3074"/>
    <col width="23.83203125" customWidth="1" style="241" min="3075" max="3075"/>
    <col width="20.5" customWidth="1" style="241" min="3076" max="3076"/>
    <col width="23" customWidth="1" style="241" min="3077" max="3077"/>
    <col width="28.08203125" customWidth="1" style="241" min="3078" max="3078"/>
    <col width="27.58203125" customWidth="1" style="241" min="3079" max="3079"/>
    <col width="15.5" customWidth="1" style="241" min="3080" max="3080"/>
    <col width="2" customWidth="1" style="241" min="3081" max="3081"/>
    <col width="21.58203125" customWidth="1" style="241" min="3082" max="3082"/>
    <col width="19" customWidth="1" style="241" min="3083" max="3083"/>
    <col width="17" customWidth="1" style="241" min="3084" max="3084"/>
    <col width="14.58203125" customWidth="1" style="241" min="3085" max="3085"/>
    <col width="16.58203125" customWidth="1" style="241" min="3086" max="3086"/>
    <col width="14.58203125" bestFit="1" customWidth="1" style="241" min="3087" max="3087"/>
    <col width="7.58203125" customWidth="1" style="241" min="3088" max="3089"/>
    <col width="15.5" customWidth="1" style="241" min="3090" max="3090"/>
    <col width="7.58203125" customWidth="1" style="241" min="3091" max="3327"/>
    <col width="1.5" customWidth="1" style="241" min="3328" max="3328"/>
    <col width="26.5" customWidth="1" style="241" min="3329" max="3329"/>
    <col width="16.83203125" customWidth="1" style="241" min="3330" max="3330"/>
    <col width="23.83203125" customWidth="1" style="241" min="3331" max="3331"/>
    <col width="20.5" customWidth="1" style="241" min="3332" max="3332"/>
    <col width="23" customWidth="1" style="241" min="3333" max="3333"/>
    <col width="28.08203125" customWidth="1" style="241" min="3334" max="3334"/>
    <col width="27.58203125" customWidth="1" style="241" min="3335" max="3335"/>
    <col width="15.5" customWidth="1" style="241" min="3336" max="3336"/>
    <col width="2" customWidth="1" style="241" min="3337" max="3337"/>
    <col width="21.58203125" customWidth="1" style="241" min="3338" max="3338"/>
    <col width="19" customWidth="1" style="241" min="3339" max="3339"/>
    <col width="17" customWidth="1" style="241" min="3340" max="3340"/>
    <col width="14.58203125" customWidth="1" style="241" min="3341" max="3341"/>
    <col width="16.58203125" customWidth="1" style="241" min="3342" max="3342"/>
    <col width="14.58203125" bestFit="1" customWidth="1" style="241" min="3343" max="3343"/>
    <col width="7.58203125" customWidth="1" style="241" min="3344" max="3345"/>
    <col width="15.5" customWidth="1" style="241" min="3346" max="3346"/>
    <col width="7.58203125" customWidth="1" style="241" min="3347" max="3583"/>
    <col width="1.5" customWidth="1" style="241" min="3584" max="3584"/>
    <col width="26.5" customWidth="1" style="241" min="3585" max="3585"/>
    <col width="16.83203125" customWidth="1" style="241" min="3586" max="3586"/>
    <col width="23.83203125" customWidth="1" style="241" min="3587" max="3587"/>
    <col width="20.5" customWidth="1" style="241" min="3588" max="3588"/>
    <col width="23" customWidth="1" style="241" min="3589" max="3589"/>
    <col width="28.08203125" customWidth="1" style="241" min="3590" max="3590"/>
    <col width="27.58203125" customWidth="1" style="241" min="3591" max="3591"/>
    <col width="15.5" customWidth="1" style="241" min="3592" max="3592"/>
    <col width="2" customWidth="1" style="241" min="3593" max="3593"/>
    <col width="21.58203125" customWidth="1" style="241" min="3594" max="3594"/>
    <col width="19" customWidth="1" style="241" min="3595" max="3595"/>
    <col width="17" customWidth="1" style="241" min="3596" max="3596"/>
    <col width="14.58203125" customWidth="1" style="241" min="3597" max="3597"/>
    <col width="16.58203125" customWidth="1" style="241" min="3598" max="3598"/>
    <col width="14.58203125" bestFit="1" customWidth="1" style="241" min="3599" max="3599"/>
    <col width="7.58203125" customWidth="1" style="241" min="3600" max="3601"/>
    <col width="15.5" customWidth="1" style="241" min="3602" max="3602"/>
    <col width="7.58203125" customWidth="1" style="241" min="3603" max="3839"/>
    <col width="1.5" customWidth="1" style="241" min="3840" max="3840"/>
    <col width="26.5" customWidth="1" style="241" min="3841" max="3841"/>
    <col width="16.83203125" customWidth="1" style="241" min="3842" max="3842"/>
    <col width="23.83203125" customWidth="1" style="241" min="3843" max="3843"/>
    <col width="20.5" customWidth="1" style="241" min="3844" max="3844"/>
    <col width="23" customWidth="1" style="241" min="3845" max="3845"/>
    <col width="28.08203125" customWidth="1" style="241" min="3846" max="3846"/>
    <col width="27.58203125" customWidth="1" style="241" min="3847" max="3847"/>
    <col width="15.5" customWidth="1" style="241" min="3848" max="3848"/>
    <col width="2" customWidth="1" style="241" min="3849" max="3849"/>
    <col width="21.58203125" customWidth="1" style="241" min="3850" max="3850"/>
    <col width="19" customWidth="1" style="241" min="3851" max="3851"/>
    <col width="17" customWidth="1" style="241" min="3852" max="3852"/>
    <col width="14.58203125" customWidth="1" style="241" min="3853" max="3853"/>
    <col width="16.58203125" customWidth="1" style="241" min="3854" max="3854"/>
    <col width="14.58203125" bestFit="1" customWidth="1" style="241" min="3855" max="3855"/>
    <col width="7.58203125" customWidth="1" style="241" min="3856" max="3857"/>
    <col width="15.5" customWidth="1" style="241" min="3858" max="3858"/>
    <col width="7.58203125" customWidth="1" style="241" min="3859" max="4095"/>
    <col width="1.5" customWidth="1" style="241" min="4096" max="4096"/>
    <col width="26.5" customWidth="1" style="241" min="4097" max="4097"/>
    <col width="16.83203125" customWidth="1" style="241" min="4098" max="4098"/>
    <col width="23.83203125" customWidth="1" style="241" min="4099" max="4099"/>
    <col width="20.5" customWidth="1" style="241" min="4100" max="4100"/>
    <col width="23" customWidth="1" style="241" min="4101" max="4101"/>
    <col width="28.08203125" customWidth="1" style="241" min="4102" max="4102"/>
    <col width="27.58203125" customWidth="1" style="241" min="4103" max="4103"/>
    <col width="15.5" customWidth="1" style="241" min="4104" max="4104"/>
    <col width="2" customWidth="1" style="241" min="4105" max="4105"/>
    <col width="21.58203125" customWidth="1" style="241" min="4106" max="4106"/>
    <col width="19" customWidth="1" style="241" min="4107" max="4107"/>
    <col width="17" customWidth="1" style="241" min="4108" max="4108"/>
    <col width="14.58203125" customWidth="1" style="241" min="4109" max="4109"/>
    <col width="16.58203125" customWidth="1" style="241" min="4110" max="4110"/>
    <col width="14.58203125" bestFit="1" customWidth="1" style="241" min="4111" max="4111"/>
    <col width="7.58203125" customWidth="1" style="241" min="4112" max="4113"/>
    <col width="15.5" customWidth="1" style="241" min="4114" max="4114"/>
    <col width="7.58203125" customWidth="1" style="241" min="4115" max="4351"/>
    <col width="1.5" customWidth="1" style="241" min="4352" max="4352"/>
    <col width="26.5" customWidth="1" style="241" min="4353" max="4353"/>
    <col width="16.83203125" customWidth="1" style="241" min="4354" max="4354"/>
    <col width="23.83203125" customWidth="1" style="241" min="4355" max="4355"/>
    <col width="20.5" customWidth="1" style="241" min="4356" max="4356"/>
    <col width="23" customWidth="1" style="241" min="4357" max="4357"/>
    <col width="28.08203125" customWidth="1" style="241" min="4358" max="4358"/>
    <col width="27.58203125" customWidth="1" style="241" min="4359" max="4359"/>
    <col width="15.5" customWidth="1" style="241" min="4360" max="4360"/>
    <col width="2" customWidth="1" style="241" min="4361" max="4361"/>
    <col width="21.58203125" customWidth="1" style="241" min="4362" max="4362"/>
    <col width="19" customWidth="1" style="241" min="4363" max="4363"/>
    <col width="17" customWidth="1" style="241" min="4364" max="4364"/>
    <col width="14.58203125" customWidth="1" style="241" min="4365" max="4365"/>
    <col width="16.58203125" customWidth="1" style="241" min="4366" max="4366"/>
    <col width="14.58203125" bestFit="1" customWidth="1" style="241" min="4367" max="4367"/>
    <col width="7.58203125" customWidth="1" style="241" min="4368" max="4369"/>
    <col width="15.5" customWidth="1" style="241" min="4370" max="4370"/>
    <col width="7.58203125" customWidth="1" style="241" min="4371" max="4607"/>
    <col width="1.5" customWidth="1" style="241" min="4608" max="4608"/>
    <col width="26.5" customWidth="1" style="241" min="4609" max="4609"/>
    <col width="16.83203125" customWidth="1" style="241" min="4610" max="4610"/>
    <col width="23.83203125" customWidth="1" style="241" min="4611" max="4611"/>
    <col width="20.5" customWidth="1" style="241" min="4612" max="4612"/>
    <col width="23" customWidth="1" style="241" min="4613" max="4613"/>
    <col width="28.08203125" customWidth="1" style="241" min="4614" max="4614"/>
    <col width="27.58203125" customWidth="1" style="241" min="4615" max="4615"/>
    <col width="15.5" customWidth="1" style="241" min="4616" max="4616"/>
    <col width="2" customWidth="1" style="241" min="4617" max="4617"/>
    <col width="21.58203125" customWidth="1" style="241" min="4618" max="4618"/>
    <col width="19" customWidth="1" style="241" min="4619" max="4619"/>
    <col width="17" customWidth="1" style="241" min="4620" max="4620"/>
    <col width="14.58203125" customWidth="1" style="241" min="4621" max="4621"/>
    <col width="16.58203125" customWidth="1" style="241" min="4622" max="4622"/>
    <col width="14.58203125" bestFit="1" customWidth="1" style="241" min="4623" max="4623"/>
    <col width="7.58203125" customWidth="1" style="241" min="4624" max="4625"/>
    <col width="15.5" customWidth="1" style="241" min="4626" max="4626"/>
    <col width="7.58203125" customWidth="1" style="241" min="4627" max="4863"/>
    <col width="1.5" customWidth="1" style="241" min="4864" max="4864"/>
    <col width="26.5" customWidth="1" style="241" min="4865" max="4865"/>
    <col width="16.83203125" customWidth="1" style="241" min="4866" max="4866"/>
    <col width="23.83203125" customWidth="1" style="241" min="4867" max="4867"/>
    <col width="20.5" customWidth="1" style="241" min="4868" max="4868"/>
    <col width="23" customWidth="1" style="241" min="4869" max="4869"/>
    <col width="28.08203125" customWidth="1" style="241" min="4870" max="4870"/>
    <col width="27.58203125" customWidth="1" style="241" min="4871" max="4871"/>
    <col width="15.5" customWidth="1" style="241" min="4872" max="4872"/>
    <col width="2" customWidth="1" style="241" min="4873" max="4873"/>
    <col width="21.58203125" customWidth="1" style="241" min="4874" max="4874"/>
    <col width="19" customWidth="1" style="241" min="4875" max="4875"/>
    <col width="17" customWidth="1" style="241" min="4876" max="4876"/>
    <col width="14.58203125" customWidth="1" style="241" min="4877" max="4877"/>
    <col width="16.58203125" customWidth="1" style="241" min="4878" max="4878"/>
    <col width="14.58203125" bestFit="1" customWidth="1" style="241" min="4879" max="4879"/>
    <col width="7.58203125" customWidth="1" style="241" min="4880" max="4881"/>
    <col width="15.5" customWidth="1" style="241" min="4882" max="4882"/>
    <col width="7.58203125" customWidth="1" style="241" min="4883" max="5119"/>
    <col width="1.5" customWidth="1" style="241" min="5120" max="5120"/>
    <col width="26.5" customWidth="1" style="241" min="5121" max="5121"/>
    <col width="16.83203125" customWidth="1" style="241" min="5122" max="5122"/>
    <col width="23.83203125" customWidth="1" style="241" min="5123" max="5123"/>
    <col width="20.5" customWidth="1" style="241" min="5124" max="5124"/>
    <col width="23" customWidth="1" style="241" min="5125" max="5125"/>
    <col width="28.08203125" customWidth="1" style="241" min="5126" max="5126"/>
    <col width="27.58203125" customWidth="1" style="241" min="5127" max="5127"/>
    <col width="15.5" customWidth="1" style="241" min="5128" max="5128"/>
    <col width="2" customWidth="1" style="241" min="5129" max="5129"/>
    <col width="21.58203125" customWidth="1" style="241" min="5130" max="5130"/>
    <col width="19" customWidth="1" style="241" min="5131" max="5131"/>
    <col width="17" customWidth="1" style="241" min="5132" max="5132"/>
    <col width="14.58203125" customWidth="1" style="241" min="5133" max="5133"/>
    <col width="16.58203125" customWidth="1" style="241" min="5134" max="5134"/>
    <col width="14.58203125" bestFit="1" customWidth="1" style="241" min="5135" max="5135"/>
    <col width="7.58203125" customWidth="1" style="241" min="5136" max="5137"/>
    <col width="15.5" customWidth="1" style="241" min="5138" max="5138"/>
    <col width="7.58203125" customWidth="1" style="241" min="5139" max="5375"/>
    <col width="1.5" customWidth="1" style="241" min="5376" max="5376"/>
    <col width="26.5" customWidth="1" style="241" min="5377" max="5377"/>
    <col width="16.83203125" customWidth="1" style="241" min="5378" max="5378"/>
    <col width="23.83203125" customWidth="1" style="241" min="5379" max="5379"/>
    <col width="20.5" customWidth="1" style="241" min="5380" max="5380"/>
    <col width="23" customWidth="1" style="241" min="5381" max="5381"/>
    <col width="28.08203125" customWidth="1" style="241" min="5382" max="5382"/>
    <col width="27.58203125" customWidth="1" style="241" min="5383" max="5383"/>
    <col width="15.5" customWidth="1" style="241" min="5384" max="5384"/>
    <col width="2" customWidth="1" style="241" min="5385" max="5385"/>
    <col width="21.58203125" customWidth="1" style="241" min="5386" max="5386"/>
    <col width="19" customWidth="1" style="241" min="5387" max="5387"/>
    <col width="17" customWidth="1" style="241" min="5388" max="5388"/>
    <col width="14.58203125" customWidth="1" style="241" min="5389" max="5389"/>
    <col width="16.58203125" customWidth="1" style="241" min="5390" max="5390"/>
    <col width="14.58203125" bestFit="1" customWidth="1" style="241" min="5391" max="5391"/>
    <col width="7.58203125" customWidth="1" style="241" min="5392" max="5393"/>
    <col width="15.5" customWidth="1" style="241" min="5394" max="5394"/>
    <col width="7.58203125" customWidth="1" style="241" min="5395" max="5631"/>
    <col width="1.5" customWidth="1" style="241" min="5632" max="5632"/>
    <col width="26.5" customWidth="1" style="241" min="5633" max="5633"/>
    <col width="16.83203125" customWidth="1" style="241" min="5634" max="5634"/>
    <col width="23.83203125" customWidth="1" style="241" min="5635" max="5635"/>
    <col width="20.5" customWidth="1" style="241" min="5636" max="5636"/>
    <col width="23" customWidth="1" style="241" min="5637" max="5637"/>
    <col width="28.08203125" customWidth="1" style="241" min="5638" max="5638"/>
    <col width="27.58203125" customWidth="1" style="241" min="5639" max="5639"/>
    <col width="15.5" customWidth="1" style="241" min="5640" max="5640"/>
    <col width="2" customWidth="1" style="241" min="5641" max="5641"/>
    <col width="21.58203125" customWidth="1" style="241" min="5642" max="5642"/>
    <col width="19" customWidth="1" style="241" min="5643" max="5643"/>
    <col width="17" customWidth="1" style="241" min="5644" max="5644"/>
    <col width="14.58203125" customWidth="1" style="241" min="5645" max="5645"/>
    <col width="16.58203125" customWidth="1" style="241" min="5646" max="5646"/>
    <col width="14.58203125" bestFit="1" customWidth="1" style="241" min="5647" max="5647"/>
    <col width="7.58203125" customWidth="1" style="241" min="5648" max="5649"/>
    <col width="15.5" customWidth="1" style="241" min="5650" max="5650"/>
    <col width="7.58203125" customWidth="1" style="241" min="5651" max="5887"/>
    <col width="1.5" customWidth="1" style="241" min="5888" max="5888"/>
    <col width="26.5" customWidth="1" style="241" min="5889" max="5889"/>
    <col width="16.83203125" customWidth="1" style="241" min="5890" max="5890"/>
    <col width="23.83203125" customWidth="1" style="241" min="5891" max="5891"/>
    <col width="20.5" customWidth="1" style="241" min="5892" max="5892"/>
    <col width="23" customWidth="1" style="241" min="5893" max="5893"/>
    <col width="28.08203125" customWidth="1" style="241" min="5894" max="5894"/>
    <col width="27.58203125" customWidth="1" style="241" min="5895" max="5895"/>
    <col width="15.5" customWidth="1" style="241" min="5896" max="5896"/>
    <col width="2" customWidth="1" style="241" min="5897" max="5897"/>
    <col width="21.58203125" customWidth="1" style="241" min="5898" max="5898"/>
    <col width="19" customWidth="1" style="241" min="5899" max="5899"/>
    <col width="17" customWidth="1" style="241" min="5900" max="5900"/>
    <col width="14.58203125" customWidth="1" style="241" min="5901" max="5901"/>
    <col width="16.58203125" customWidth="1" style="241" min="5902" max="5902"/>
    <col width="14.58203125" bestFit="1" customWidth="1" style="241" min="5903" max="5903"/>
    <col width="7.58203125" customWidth="1" style="241" min="5904" max="5905"/>
    <col width="15.5" customWidth="1" style="241" min="5906" max="5906"/>
    <col width="7.58203125" customWidth="1" style="241" min="5907" max="6143"/>
    <col width="1.5" customWidth="1" style="241" min="6144" max="6144"/>
    <col width="26.5" customWidth="1" style="241" min="6145" max="6145"/>
    <col width="16.83203125" customWidth="1" style="241" min="6146" max="6146"/>
    <col width="23.83203125" customWidth="1" style="241" min="6147" max="6147"/>
    <col width="20.5" customWidth="1" style="241" min="6148" max="6148"/>
    <col width="23" customWidth="1" style="241" min="6149" max="6149"/>
    <col width="28.08203125" customWidth="1" style="241" min="6150" max="6150"/>
    <col width="27.58203125" customWidth="1" style="241" min="6151" max="6151"/>
    <col width="15.5" customWidth="1" style="241" min="6152" max="6152"/>
    <col width="2" customWidth="1" style="241" min="6153" max="6153"/>
    <col width="21.58203125" customWidth="1" style="241" min="6154" max="6154"/>
    <col width="19" customWidth="1" style="241" min="6155" max="6155"/>
    <col width="17" customWidth="1" style="241" min="6156" max="6156"/>
    <col width="14.58203125" customWidth="1" style="241" min="6157" max="6157"/>
    <col width="16.58203125" customWidth="1" style="241" min="6158" max="6158"/>
    <col width="14.58203125" bestFit="1" customWidth="1" style="241" min="6159" max="6159"/>
    <col width="7.58203125" customWidth="1" style="241" min="6160" max="6161"/>
    <col width="15.5" customWidth="1" style="241" min="6162" max="6162"/>
    <col width="7.58203125" customWidth="1" style="241" min="6163" max="6399"/>
    <col width="1.5" customWidth="1" style="241" min="6400" max="6400"/>
    <col width="26.5" customWidth="1" style="241" min="6401" max="6401"/>
    <col width="16.83203125" customWidth="1" style="241" min="6402" max="6402"/>
    <col width="23.83203125" customWidth="1" style="241" min="6403" max="6403"/>
    <col width="20.5" customWidth="1" style="241" min="6404" max="6404"/>
    <col width="23" customWidth="1" style="241" min="6405" max="6405"/>
    <col width="28.08203125" customWidth="1" style="241" min="6406" max="6406"/>
    <col width="27.58203125" customWidth="1" style="241" min="6407" max="6407"/>
    <col width="15.5" customWidth="1" style="241" min="6408" max="6408"/>
    <col width="2" customWidth="1" style="241" min="6409" max="6409"/>
    <col width="21.58203125" customWidth="1" style="241" min="6410" max="6410"/>
    <col width="19" customWidth="1" style="241" min="6411" max="6411"/>
    <col width="17" customWidth="1" style="241" min="6412" max="6412"/>
    <col width="14.58203125" customWidth="1" style="241" min="6413" max="6413"/>
    <col width="16.58203125" customWidth="1" style="241" min="6414" max="6414"/>
    <col width="14.58203125" bestFit="1" customWidth="1" style="241" min="6415" max="6415"/>
    <col width="7.58203125" customWidth="1" style="241" min="6416" max="6417"/>
    <col width="15.5" customWidth="1" style="241" min="6418" max="6418"/>
    <col width="7.58203125" customWidth="1" style="241" min="6419" max="6655"/>
    <col width="1.5" customWidth="1" style="241" min="6656" max="6656"/>
    <col width="26.5" customWidth="1" style="241" min="6657" max="6657"/>
    <col width="16.83203125" customWidth="1" style="241" min="6658" max="6658"/>
    <col width="23.83203125" customWidth="1" style="241" min="6659" max="6659"/>
    <col width="20.5" customWidth="1" style="241" min="6660" max="6660"/>
    <col width="23" customWidth="1" style="241" min="6661" max="6661"/>
    <col width="28.08203125" customWidth="1" style="241" min="6662" max="6662"/>
    <col width="27.58203125" customWidth="1" style="241" min="6663" max="6663"/>
    <col width="15.5" customWidth="1" style="241" min="6664" max="6664"/>
    <col width="2" customWidth="1" style="241" min="6665" max="6665"/>
    <col width="21.58203125" customWidth="1" style="241" min="6666" max="6666"/>
    <col width="19" customWidth="1" style="241" min="6667" max="6667"/>
    <col width="17" customWidth="1" style="241" min="6668" max="6668"/>
    <col width="14.58203125" customWidth="1" style="241" min="6669" max="6669"/>
    <col width="16.58203125" customWidth="1" style="241" min="6670" max="6670"/>
    <col width="14.58203125" bestFit="1" customWidth="1" style="241" min="6671" max="6671"/>
    <col width="7.58203125" customWidth="1" style="241" min="6672" max="6673"/>
    <col width="15.5" customWidth="1" style="241" min="6674" max="6674"/>
    <col width="7.58203125" customWidth="1" style="241" min="6675" max="6911"/>
    <col width="1.5" customWidth="1" style="241" min="6912" max="6912"/>
    <col width="26.5" customWidth="1" style="241" min="6913" max="6913"/>
    <col width="16.83203125" customWidth="1" style="241" min="6914" max="6914"/>
    <col width="23.83203125" customWidth="1" style="241" min="6915" max="6915"/>
    <col width="20.5" customWidth="1" style="241" min="6916" max="6916"/>
    <col width="23" customWidth="1" style="241" min="6917" max="6917"/>
    <col width="28.08203125" customWidth="1" style="241" min="6918" max="6918"/>
    <col width="27.58203125" customWidth="1" style="241" min="6919" max="6919"/>
    <col width="15.5" customWidth="1" style="241" min="6920" max="6920"/>
    <col width="2" customWidth="1" style="241" min="6921" max="6921"/>
    <col width="21.58203125" customWidth="1" style="241" min="6922" max="6922"/>
    <col width="19" customWidth="1" style="241" min="6923" max="6923"/>
    <col width="17" customWidth="1" style="241" min="6924" max="6924"/>
    <col width="14.58203125" customWidth="1" style="241" min="6925" max="6925"/>
    <col width="16.58203125" customWidth="1" style="241" min="6926" max="6926"/>
    <col width="14.58203125" bestFit="1" customWidth="1" style="241" min="6927" max="6927"/>
    <col width="7.58203125" customWidth="1" style="241" min="6928" max="6929"/>
    <col width="15.5" customWidth="1" style="241" min="6930" max="6930"/>
    <col width="7.58203125" customWidth="1" style="241" min="6931" max="7167"/>
    <col width="1.5" customWidth="1" style="241" min="7168" max="7168"/>
    <col width="26.5" customWidth="1" style="241" min="7169" max="7169"/>
    <col width="16.83203125" customWidth="1" style="241" min="7170" max="7170"/>
    <col width="23.83203125" customWidth="1" style="241" min="7171" max="7171"/>
    <col width="20.5" customWidth="1" style="241" min="7172" max="7172"/>
    <col width="23" customWidth="1" style="241" min="7173" max="7173"/>
    <col width="28.08203125" customWidth="1" style="241" min="7174" max="7174"/>
    <col width="27.58203125" customWidth="1" style="241" min="7175" max="7175"/>
    <col width="15.5" customWidth="1" style="241" min="7176" max="7176"/>
    <col width="2" customWidth="1" style="241" min="7177" max="7177"/>
    <col width="21.58203125" customWidth="1" style="241" min="7178" max="7178"/>
    <col width="19" customWidth="1" style="241" min="7179" max="7179"/>
    <col width="17" customWidth="1" style="241" min="7180" max="7180"/>
    <col width="14.58203125" customWidth="1" style="241" min="7181" max="7181"/>
    <col width="16.58203125" customWidth="1" style="241" min="7182" max="7182"/>
    <col width="14.58203125" bestFit="1" customWidth="1" style="241" min="7183" max="7183"/>
    <col width="7.58203125" customWidth="1" style="241" min="7184" max="7185"/>
    <col width="15.5" customWidth="1" style="241" min="7186" max="7186"/>
    <col width="7.58203125" customWidth="1" style="241" min="7187" max="7423"/>
    <col width="1.5" customWidth="1" style="241" min="7424" max="7424"/>
    <col width="26.5" customWidth="1" style="241" min="7425" max="7425"/>
    <col width="16.83203125" customWidth="1" style="241" min="7426" max="7426"/>
    <col width="23.83203125" customWidth="1" style="241" min="7427" max="7427"/>
    <col width="20.5" customWidth="1" style="241" min="7428" max="7428"/>
    <col width="23" customWidth="1" style="241" min="7429" max="7429"/>
    <col width="28.08203125" customWidth="1" style="241" min="7430" max="7430"/>
    <col width="27.58203125" customWidth="1" style="241" min="7431" max="7431"/>
    <col width="15.5" customWidth="1" style="241" min="7432" max="7432"/>
    <col width="2" customWidth="1" style="241" min="7433" max="7433"/>
    <col width="21.58203125" customWidth="1" style="241" min="7434" max="7434"/>
    <col width="19" customWidth="1" style="241" min="7435" max="7435"/>
    <col width="17" customWidth="1" style="241" min="7436" max="7436"/>
    <col width="14.58203125" customWidth="1" style="241" min="7437" max="7437"/>
    <col width="16.58203125" customWidth="1" style="241" min="7438" max="7438"/>
    <col width="14.58203125" bestFit="1" customWidth="1" style="241" min="7439" max="7439"/>
    <col width="7.58203125" customWidth="1" style="241" min="7440" max="7441"/>
    <col width="15.5" customWidth="1" style="241" min="7442" max="7442"/>
    <col width="7.58203125" customWidth="1" style="241" min="7443" max="7679"/>
    <col width="1.5" customWidth="1" style="241" min="7680" max="7680"/>
    <col width="26.5" customWidth="1" style="241" min="7681" max="7681"/>
    <col width="16.83203125" customWidth="1" style="241" min="7682" max="7682"/>
    <col width="23.83203125" customWidth="1" style="241" min="7683" max="7683"/>
    <col width="20.5" customWidth="1" style="241" min="7684" max="7684"/>
    <col width="23" customWidth="1" style="241" min="7685" max="7685"/>
    <col width="28.08203125" customWidth="1" style="241" min="7686" max="7686"/>
    <col width="27.58203125" customWidth="1" style="241" min="7687" max="7687"/>
    <col width="15.5" customWidth="1" style="241" min="7688" max="7688"/>
    <col width="2" customWidth="1" style="241" min="7689" max="7689"/>
    <col width="21.58203125" customWidth="1" style="241" min="7690" max="7690"/>
    <col width="19" customWidth="1" style="241" min="7691" max="7691"/>
    <col width="17" customWidth="1" style="241" min="7692" max="7692"/>
    <col width="14.58203125" customWidth="1" style="241" min="7693" max="7693"/>
    <col width="16.58203125" customWidth="1" style="241" min="7694" max="7694"/>
    <col width="14.58203125" bestFit="1" customWidth="1" style="241" min="7695" max="7695"/>
    <col width="7.58203125" customWidth="1" style="241" min="7696" max="7697"/>
    <col width="15.5" customWidth="1" style="241" min="7698" max="7698"/>
    <col width="7.58203125" customWidth="1" style="241" min="7699" max="7935"/>
    <col width="1.5" customWidth="1" style="241" min="7936" max="7936"/>
    <col width="26.5" customWidth="1" style="241" min="7937" max="7937"/>
    <col width="16.83203125" customWidth="1" style="241" min="7938" max="7938"/>
    <col width="23.83203125" customWidth="1" style="241" min="7939" max="7939"/>
    <col width="20.5" customWidth="1" style="241" min="7940" max="7940"/>
    <col width="23" customWidth="1" style="241" min="7941" max="7941"/>
    <col width="28.08203125" customWidth="1" style="241" min="7942" max="7942"/>
    <col width="27.58203125" customWidth="1" style="241" min="7943" max="7943"/>
    <col width="15.5" customWidth="1" style="241" min="7944" max="7944"/>
    <col width="2" customWidth="1" style="241" min="7945" max="7945"/>
    <col width="21.58203125" customWidth="1" style="241" min="7946" max="7946"/>
    <col width="19" customWidth="1" style="241" min="7947" max="7947"/>
    <col width="17" customWidth="1" style="241" min="7948" max="7948"/>
    <col width="14.58203125" customWidth="1" style="241" min="7949" max="7949"/>
    <col width="16.58203125" customWidth="1" style="241" min="7950" max="7950"/>
    <col width="14.58203125" bestFit="1" customWidth="1" style="241" min="7951" max="7951"/>
    <col width="7.58203125" customWidth="1" style="241" min="7952" max="7953"/>
    <col width="15.5" customWidth="1" style="241" min="7954" max="7954"/>
    <col width="7.58203125" customWidth="1" style="241" min="7955" max="8191"/>
    <col width="1.5" customWidth="1" style="241" min="8192" max="8192"/>
    <col width="26.5" customWidth="1" style="241" min="8193" max="8193"/>
    <col width="16.83203125" customWidth="1" style="241" min="8194" max="8194"/>
    <col width="23.83203125" customWidth="1" style="241" min="8195" max="8195"/>
    <col width="20.5" customWidth="1" style="241" min="8196" max="8196"/>
    <col width="23" customWidth="1" style="241" min="8197" max="8197"/>
    <col width="28.08203125" customWidth="1" style="241" min="8198" max="8198"/>
    <col width="27.58203125" customWidth="1" style="241" min="8199" max="8199"/>
    <col width="15.5" customWidth="1" style="241" min="8200" max="8200"/>
    <col width="2" customWidth="1" style="241" min="8201" max="8201"/>
    <col width="21.58203125" customWidth="1" style="241" min="8202" max="8202"/>
    <col width="19" customWidth="1" style="241" min="8203" max="8203"/>
    <col width="17" customWidth="1" style="241" min="8204" max="8204"/>
    <col width="14.58203125" customWidth="1" style="241" min="8205" max="8205"/>
    <col width="16.58203125" customWidth="1" style="241" min="8206" max="8206"/>
    <col width="14.58203125" bestFit="1" customWidth="1" style="241" min="8207" max="8207"/>
    <col width="7.58203125" customWidth="1" style="241" min="8208" max="8209"/>
    <col width="15.5" customWidth="1" style="241" min="8210" max="8210"/>
    <col width="7.58203125" customWidth="1" style="241" min="8211" max="8447"/>
    <col width="1.5" customWidth="1" style="241" min="8448" max="8448"/>
    <col width="26.5" customWidth="1" style="241" min="8449" max="8449"/>
    <col width="16.83203125" customWidth="1" style="241" min="8450" max="8450"/>
    <col width="23.83203125" customWidth="1" style="241" min="8451" max="8451"/>
    <col width="20.5" customWidth="1" style="241" min="8452" max="8452"/>
    <col width="23" customWidth="1" style="241" min="8453" max="8453"/>
    <col width="28.08203125" customWidth="1" style="241" min="8454" max="8454"/>
    <col width="27.58203125" customWidth="1" style="241" min="8455" max="8455"/>
    <col width="15.5" customWidth="1" style="241" min="8456" max="8456"/>
    <col width="2" customWidth="1" style="241" min="8457" max="8457"/>
    <col width="21.58203125" customWidth="1" style="241" min="8458" max="8458"/>
    <col width="19" customWidth="1" style="241" min="8459" max="8459"/>
    <col width="17" customWidth="1" style="241" min="8460" max="8460"/>
    <col width="14.58203125" customWidth="1" style="241" min="8461" max="8461"/>
    <col width="16.58203125" customWidth="1" style="241" min="8462" max="8462"/>
    <col width="14.58203125" bestFit="1" customWidth="1" style="241" min="8463" max="8463"/>
    <col width="7.58203125" customWidth="1" style="241" min="8464" max="8465"/>
    <col width="15.5" customWidth="1" style="241" min="8466" max="8466"/>
    <col width="7.58203125" customWidth="1" style="241" min="8467" max="8703"/>
    <col width="1.5" customWidth="1" style="241" min="8704" max="8704"/>
    <col width="26.5" customWidth="1" style="241" min="8705" max="8705"/>
    <col width="16.83203125" customWidth="1" style="241" min="8706" max="8706"/>
    <col width="23.83203125" customWidth="1" style="241" min="8707" max="8707"/>
    <col width="20.5" customWidth="1" style="241" min="8708" max="8708"/>
    <col width="23" customWidth="1" style="241" min="8709" max="8709"/>
    <col width="28.08203125" customWidth="1" style="241" min="8710" max="8710"/>
    <col width="27.58203125" customWidth="1" style="241" min="8711" max="8711"/>
    <col width="15.5" customWidth="1" style="241" min="8712" max="8712"/>
    <col width="2" customWidth="1" style="241" min="8713" max="8713"/>
    <col width="21.58203125" customWidth="1" style="241" min="8714" max="8714"/>
    <col width="19" customWidth="1" style="241" min="8715" max="8715"/>
    <col width="17" customWidth="1" style="241" min="8716" max="8716"/>
    <col width="14.58203125" customWidth="1" style="241" min="8717" max="8717"/>
    <col width="16.58203125" customWidth="1" style="241" min="8718" max="8718"/>
    <col width="14.58203125" bestFit="1" customWidth="1" style="241" min="8719" max="8719"/>
    <col width="7.58203125" customWidth="1" style="241" min="8720" max="8721"/>
    <col width="15.5" customWidth="1" style="241" min="8722" max="8722"/>
    <col width="7.58203125" customWidth="1" style="241" min="8723" max="8959"/>
    <col width="1.5" customWidth="1" style="241" min="8960" max="8960"/>
    <col width="26.5" customWidth="1" style="241" min="8961" max="8961"/>
    <col width="16.83203125" customWidth="1" style="241" min="8962" max="8962"/>
    <col width="23.83203125" customWidth="1" style="241" min="8963" max="8963"/>
    <col width="20.5" customWidth="1" style="241" min="8964" max="8964"/>
    <col width="23" customWidth="1" style="241" min="8965" max="8965"/>
    <col width="28.08203125" customWidth="1" style="241" min="8966" max="8966"/>
    <col width="27.58203125" customWidth="1" style="241" min="8967" max="8967"/>
    <col width="15.5" customWidth="1" style="241" min="8968" max="8968"/>
    <col width="2" customWidth="1" style="241" min="8969" max="8969"/>
    <col width="21.58203125" customWidth="1" style="241" min="8970" max="8970"/>
    <col width="19" customWidth="1" style="241" min="8971" max="8971"/>
    <col width="17" customWidth="1" style="241" min="8972" max="8972"/>
    <col width="14.58203125" customWidth="1" style="241" min="8973" max="8973"/>
    <col width="16.58203125" customWidth="1" style="241" min="8974" max="8974"/>
    <col width="14.58203125" bestFit="1" customWidth="1" style="241" min="8975" max="8975"/>
    <col width="7.58203125" customWidth="1" style="241" min="8976" max="8977"/>
    <col width="15.5" customWidth="1" style="241" min="8978" max="8978"/>
    <col width="7.58203125" customWidth="1" style="241" min="8979" max="9215"/>
    <col width="1.5" customWidth="1" style="241" min="9216" max="9216"/>
    <col width="26.5" customWidth="1" style="241" min="9217" max="9217"/>
    <col width="16.83203125" customWidth="1" style="241" min="9218" max="9218"/>
    <col width="23.83203125" customWidth="1" style="241" min="9219" max="9219"/>
    <col width="20.5" customWidth="1" style="241" min="9220" max="9220"/>
    <col width="23" customWidth="1" style="241" min="9221" max="9221"/>
    <col width="28.08203125" customWidth="1" style="241" min="9222" max="9222"/>
    <col width="27.58203125" customWidth="1" style="241" min="9223" max="9223"/>
    <col width="15.5" customWidth="1" style="241" min="9224" max="9224"/>
    <col width="2" customWidth="1" style="241" min="9225" max="9225"/>
    <col width="21.58203125" customWidth="1" style="241" min="9226" max="9226"/>
    <col width="19" customWidth="1" style="241" min="9227" max="9227"/>
    <col width="17" customWidth="1" style="241" min="9228" max="9228"/>
    <col width="14.58203125" customWidth="1" style="241" min="9229" max="9229"/>
    <col width="16.58203125" customWidth="1" style="241" min="9230" max="9230"/>
    <col width="14.58203125" bestFit="1" customWidth="1" style="241" min="9231" max="9231"/>
    <col width="7.58203125" customWidth="1" style="241" min="9232" max="9233"/>
    <col width="15.5" customWidth="1" style="241" min="9234" max="9234"/>
    <col width="7.58203125" customWidth="1" style="241" min="9235" max="9471"/>
    <col width="1.5" customWidth="1" style="241" min="9472" max="9472"/>
    <col width="26.5" customWidth="1" style="241" min="9473" max="9473"/>
    <col width="16.83203125" customWidth="1" style="241" min="9474" max="9474"/>
    <col width="23.83203125" customWidth="1" style="241" min="9475" max="9475"/>
    <col width="20.5" customWidth="1" style="241" min="9476" max="9476"/>
    <col width="23" customWidth="1" style="241" min="9477" max="9477"/>
    <col width="28.08203125" customWidth="1" style="241" min="9478" max="9478"/>
    <col width="27.58203125" customWidth="1" style="241" min="9479" max="9479"/>
    <col width="15.5" customWidth="1" style="241" min="9480" max="9480"/>
    <col width="2" customWidth="1" style="241" min="9481" max="9481"/>
    <col width="21.58203125" customWidth="1" style="241" min="9482" max="9482"/>
    <col width="19" customWidth="1" style="241" min="9483" max="9483"/>
    <col width="17" customWidth="1" style="241" min="9484" max="9484"/>
    <col width="14.58203125" customWidth="1" style="241" min="9485" max="9485"/>
    <col width="16.58203125" customWidth="1" style="241" min="9486" max="9486"/>
    <col width="14.58203125" bestFit="1" customWidth="1" style="241" min="9487" max="9487"/>
    <col width="7.58203125" customWidth="1" style="241" min="9488" max="9489"/>
    <col width="15.5" customWidth="1" style="241" min="9490" max="9490"/>
    <col width="7.58203125" customWidth="1" style="241" min="9491" max="9727"/>
    <col width="1.5" customWidth="1" style="241" min="9728" max="9728"/>
    <col width="26.5" customWidth="1" style="241" min="9729" max="9729"/>
    <col width="16.83203125" customWidth="1" style="241" min="9730" max="9730"/>
    <col width="23.83203125" customWidth="1" style="241" min="9731" max="9731"/>
    <col width="20.5" customWidth="1" style="241" min="9732" max="9732"/>
    <col width="23" customWidth="1" style="241" min="9733" max="9733"/>
    <col width="28.08203125" customWidth="1" style="241" min="9734" max="9734"/>
    <col width="27.58203125" customWidth="1" style="241" min="9735" max="9735"/>
    <col width="15.5" customWidth="1" style="241" min="9736" max="9736"/>
    <col width="2" customWidth="1" style="241" min="9737" max="9737"/>
    <col width="21.58203125" customWidth="1" style="241" min="9738" max="9738"/>
    <col width="19" customWidth="1" style="241" min="9739" max="9739"/>
    <col width="17" customWidth="1" style="241" min="9740" max="9740"/>
    <col width="14.58203125" customWidth="1" style="241" min="9741" max="9741"/>
    <col width="16.58203125" customWidth="1" style="241" min="9742" max="9742"/>
    <col width="14.58203125" bestFit="1" customWidth="1" style="241" min="9743" max="9743"/>
    <col width="7.58203125" customWidth="1" style="241" min="9744" max="9745"/>
    <col width="15.5" customWidth="1" style="241" min="9746" max="9746"/>
    <col width="7.58203125" customWidth="1" style="241" min="9747" max="9983"/>
    <col width="1.5" customWidth="1" style="241" min="9984" max="9984"/>
    <col width="26.5" customWidth="1" style="241" min="9985" max="9985"/>
    <col width="16.83203125" customWidth="1" style="241" min="9986" max="9986"/>
    <col width="23.83203125" customWidth="1" style="241" min="9987" max="9987"/>
    <col width="20.5" customWidth="1" style="241" min="9988" max="9988"/>
    <col width="23" customWidth="1" style="241" min="9989" max="9989"/>
    <col width="28.08203125" customWidth="1" style="241" min="9990" max="9990"/>
    <col width="27.58203125" customWidth="1" style="241" min="9991" max="9991"/>
    <col width="15.5" customWidth="1" style="241" min="9992" max="9992"/>
    <col width="2" customWidth="1" style="241" min="9993" max="9993"/>
    <col width="21.58203125" customWidth="1" style="241" min="9994" max="9994"/>
    <col width="19" customWidth="1" style="241" min="9995" max="9995"/>
    <col width="17" customWidth="1" style="241" min="9996" max="9996"/>
    <col width="14.58203125" customWidth="1" style="241" min="9997" max="9997"/>
    <col width="16.58203125" customWidth="1" style="241" min="9998" max="9998"/>
    <col width="14.58203125" bestFit="1" customWidth="1" style="241" min="9999" max="9999"/>
    <col width="7.58203125" customWidth="1" style="241" min="10000" max="10001"/>
    <col width="15.5" customWidth="1" style="241" min="10002" max="10002"/>
    <col width="7.58203125" customWidth="1" style="241" min="10003" max="10239"/>
    <col width="1.5" customWidth="1" style="241" min="10240" max="10240"/>
    <col width="26.5" customWidth="1" style="241" min="10241" max="10241"/>
    <col width="16.83203125" customWidth="1" style="241" min="10242" max="10242"/>
    <col width="23.83203125" customWidth="1" style="241" min="10243" max="10243"/>
    <col width="20.5" customWidth="1" style="241" min="10244" max="10244"/>
    <col width="23" customWidth="1" style="241" min="10245" max="10245"/>
    <col width="28.08203125" customWidth="1" style="241" min="10246" max="10246"/>
    <col width="27.58203125" customWidth="1" style="241" min="10247" max="10247"/>
    <col width="15.5" customWidth="1" style="241" min="10248" max="10248"/>
    <col width="2" customWidth="1" style="241" min="10249" max="10249"/>
    <col width="21.58203125" customWidth="1" style="241" min="10250" max="10250"/>
    <col width="19" customWidth="1" style="241" min="10251" max="10251"/>
    <col width="17" customWidth="1" style="241" min="10252" max="10252"/>
    <col width="14.58203125" customWidth="1" style="241" min="10253" max="10253"/>
    <col width="16.58203125" customWidth="1" style="241" min="10254" max="10254"/>
    <col width="14.58203125" bestFit="1" customWidth="1" style="241" min="10255" max="10255"/>
    <col width="7.58203125" customWidth="1" style="241" min="10256" max="10257"/>
    <col width="15.5" customWidth="1" style="241" min="10258" max="10258"/>
    <col width="7.58203125" customWidth="1" style="241" min="10259" max="10495"/>
    <col width="1.5" customWidth="1" style="241" min="10496" max="10496"/>
    <col width="26.5" customWidth="1" style="241" min="10497" max="10497"/>
    <col width="16.83203125" customWidth="1" style="241" min="10498" max="10498"/>
    <col width="23.83203125" customWidth="1" style="241" min="10499" max="10499"/>
    <col width="20.5" customWidth="1" style="241" min="10500" max="10500"/>
    <col width="23" customWidth="1" style="241" min="10501" max="10501"/>
    <col width="28.08203125" customWidth="1" style="241" min="10502" max="10502"/>
    <col width="27.58203125" customWidth="1" style="241" min="10503" max="10503"/>
    <col width="15.5" customWidth="1" style="241" min="10504" max="10504"/>
    <col width="2" customWidth="1" style="241" min="10505" max="10505"/>
    <col width="21.58203125" customWidth="1" style="241" min="10506" max="10506"/>
    <col width="19" customWidth="1" style="241" min="10507" max="10507"/>
    <col width="17" customWidth="1" style="241" min="10508" max="10508"/>
    <col width="14.58203125" customWidth="1" style="241" min="10509" max="10509"/>
    <col width="16.58203125" customWidth="1" style="241" min="10510" max="10510"/>
    <col width="14.58203125" bestFit="1" customWidth="1" style="241" min="10511" max="10511"/>
    <col width="7.58203125" customWidth="1" style="241" min="10512" max="10513"/>
    <col width="15.5" customWidth="1" style="241" min="10514" max="10514"/>
    <col width="7.58203125" customWidth="1" style="241" min="10515" max="10751"/>
    <col width="1.5" customWidth="1" style="241" min="10752" max="10752"/>
    <col width="26.5" customWidth="1" style="241" min="10753" max="10753"/>
    <col width="16.83203125" customWidth="1" style="241" min="10754" max="10754"/>
    <col width="23.83203125" customWidth="1" style="241" min="10755" max="10755"/>
    <col width="20.5" customWidth="1" style="241" min="10756" max="10756"/>
    <col width="23" customWidth="1" style="241" min="10757" max="10757"/>
    <col width="28.08203125" customWidth="1" style="241" min="10758" max="10758"/>
    <col width="27.58203125" customWidth="1" style="241" min="10759" max="10759"/>
    <col width="15.5" customWidth="1" style="241" min="10760" max="10760"/>
    <col width="2" customWidth="1" style="241" min="10761" max="10761"/>
    <col width="21.58203125" customWidth="1" style="241" min="10762" max="10762"/>
    <col width="19" customWidth="1" style="241" min="10763" max="10763"/>
    <col width="17" customWidth="1" style="241" min="10764" max="10764"/>
    <col width="14.58203125" customWidth="1" style="241" min="10765" max="10765"/>
    <col width="16.58203125" customWidth="1" style="241" min="10766" max="10766"/>
    <col width="14.58203125" bestFit="1" customWidth="1" style="241" min="10767" max="10767"/>
    <col width="7.58203125" customWidth="1" style="241" min="10768" max="10769"/>
    <col width="15.5" customWidth="1" style="241" min="10770" max="10770"/>
    <col width="7.58203125" customWidth="1" style="241" min="10771" max="11007"/>
    <col width="1.5" customWidth="1" style="241" min="11008" max="11008"/>
    <col width="26.5" customWidth="1" style="241" min="11009" max="11009"/>
    <col width="16.83203125" customWidth="1" style="241" min="11010" max="11010"/>
    <col width="23.83203125" customWidth="1" style="241" min="11011" max="11011"/>
    <col width="20.5" customWidth="1" style="241" min="11012" max="11012"/>
    <col width="23" customWidth="1" style="241" min="11013" max="11013"/>
    <col width="28.08203125" customWidth="1" style="241" min="11014" max="11014"/>
    <col width="27.58203125" customWidth="1" style="241" min="11015" max="11015"/>
    <col width="15.5" customWidth="1" style="241" min="11016" max="11016"/>
    <col width="2" customWidth="1" style="241" min="11017" max="11017"/>
    <col width="21.58203125" customWidth="1" style="241" min="11018" max="11018"/>
    <col width="19" customWidth="1" style="241" min="11019" max="11019"/>
    <col width="17" customWidth="1" style="241" min="11020" max="11020"/>
    <col width="14.58203125" customWidth="1" style="241" min="11021" max="11021"/>
    <col width="16.58203125" customWidth="1" style="241" min="11022" max="11022"/>
    <col width="14.58203125" bestFit="1" customWidth="1" style="241" min="11023" max="11023"/>
    <col width="7.58203125" customWidth="1" style="241" min="11024" max="11025"/>
    <col width="15.5" customWidth="1" style="241" min="11026" max="11026"/>
    <col width="7.58203125" customWidth="1" style="241" min="11027" max="11263"/>
    <col width="1.5" customWidth="1" style="241" min="11264" max="11264"/>
    <col width="26.5" customWidth="1" style="241" min="11265" max="11265"/>
    <col width="16.83203125" customWidth="1" style="241" min="11266" max="11266"/>
    <col width="23.83203125" customWidth="1" style="241" min="11267" max="11267"/>
    <col width="20.5" customWidth="1" style="241" min="11268" max="11268"/>
    <col width="23" customWidth="1" style="241" min="11269" max="11269"/>
    <col width="28.08203125" customWidth="1" style="241" min="11270" max="11270"/>
    <col width="27.58203125" customWidth="1" style="241" min="11271" max="11271"/>
    <col width="15.5" customWidth="1" style="241" min="11272" max="11272"/>
    <col width="2" customWidth="1" style="241" min="11273" max="11273"/>
    <col width="21.58203125" customWidth="1" style="241" min="11274" max="11274"/>
    <col width="19" customWidth="1" style="241" min="11275" max="11275"/>
    <col width="17" customWidth="1" style="241" min="11276" max="11276"/>
    <col width="14.58203125" customWidth="1" style="241" min="11277" max="11277"/>
    <col width="16.58203125" customWidth="1" style="241" min="11278" max="11278"/>
    <col width="14.58203125" bestFit="1" customWidth="1" style="241" min="11279" max="11279"/>
    <col width="7.58203125" customWidth="1" style="241" min="11280" max="11281"/>
    <col width="15.5" customWidth="1" style="241" min="11282" max="11282"/>
    <col width="7.58203125" customWidth="1" style="241" min="11283" max="11519"/>
    <col width="1.5" customWidth="1" style="241" min="11520" max="11520"/>
    <col width="26.5" customWidth="1" style="241" min="11521" max="11521"/>
    <col width="16.83203125" customWidth="1" style="241" min="11522" max="11522"/>
    <col width="23.83203125" customWidth="1" style="241" min="11523" max="11523"/>
    <col width="20.5" customWidth="1" style="241" min="11524" max="11524"/>
    <col width="23" customWidth="1" style="241" min="11525" max="11525"/>
    <col width="28.08203125" customWidth="1" style="241" min="11526" max="11526"/>
    <col width="27.58203125" customWidth="1" style="241" min="11527" max="11527"/>
    <col width="15.5" customWidth="1" style="241" min="11528" max="11528"/>
    <col width="2" customWidth="1" style="241" min="11529" max="11529"/>
    <col width="21.58203125" customWidth="1" style="241" min="11530" max="11530"/>
    <col width="19" customWidth="1" style="241" min="11531" max="11531"/>
    <col width="17" customWidth="1" style="241" min="11532" max="11532"/>
    <col width="14.58203125" customWidth="1" style="241" min="11533" max="11533"/>
    <col width="16.58203125" customWidth="1" style="241" min="11534" max="11534"/>
    <col width="14.58203125" bestFit="1" customWidth="1" style="241" min="11535" max="11535"/>
    <col width="7.58203125" customWidth="1" style="241" min="11536" max="11537"/>
    <col width="15.5" customWidth="1" style="241" min="11538" max="11538"/>
    <col width="7.58203125" customWidth="1" style="241" min="11539" max="11775"/>
    <col width="1.5" customWidth="1" style="241" min="11776" max="11776"/>
    <col width="26.5" customWidth="1" style="241" min="11777" max="11777"/>
    <col width="16.83203125" customWidth="1" style="241" min="11778" max="11778"/>
    <col width="23.83203125" customWidth="1" style="241" min="11779" max="11779"/>
    <col width="20.5" customWidth="1" style="241" min="11780" max="11780"/>
    <col width="23" customWidth="1" style="241" min="11781" max="11781"/>
    <col width="28.08203125" customWidth="1" style="241" min="11782" max="11782"/>
    <col width="27.58203125" customWidth="1" style="241" min="11783" max="11783"/>
    <col width="15.5" customWidth="1" style="241" min="11784" max="11784"/>
    <col width="2" customWidth="1" style="241" min="11785" max="11785"/>
    <col width="21.58203125" customWidth="1" style="241" min="11786" max="11786"/>
    <col width="19" customWidth="1" style="241" min="11787" max="11787"/>
    <col width="17" customWidth="1" style="241" min="11788" max="11788"/>
    <col width="14.58203125" customWidth="1" style="241" min="11789" max="11789"/>
    <col width="16.58203125" customWidth="1" style="241" min="11790" max="11790"/>
    <col width="14.58203125" bestFit="1" customWidth="1" style="241" min="11791" max="11791"/>
    <col width="7.58203125" customWidth="1" style="241" min="11792" max="11793"/>
    <col width="15.5" customWidth="1" style="241" min="11794" max="11794"/>
    <col width="7.58203125" customWidth="1" style="241" min="11795" max="12031"/>
    <col width="1.5" customWidth="1" style="241" min="12032" max="12032"/>
    <col width="26.5" customWidth="1" style="241" min="12033" max="12033"/>
    <col width="16.83203125" customWidth="1" style="241" min="12034" max="12034"/>
    <col width="23.83203125" customWidth="1" style="241" min="12035" max="12035"/>
    <col width="20.5" customWidth="1" style="241" min="12036" max="12036"/>
    <col width="23" customWidth="1" style="241" min="12037" max="12037"/>
    <col width="28.08203125" customWidth="1" style="241" min="12038" max="12038"/>
    <col width="27.58203125" customWidth="1" style="241" min="12039" max="12039"/>
    <col width="15.5" customWidth="1" style="241" min="12040" max="12040"/>
    <col width="2" customWidth="1" style="241" min="12041" max="12041"/>
    <col width="21.58203125" customWidth="1" style="241" min="12042" max="12042"/>
    <col width="19" customWidth="1" style="241" min="12043" max="12043"/>
    <col width="17" customWidth="1" style="241" min="12044" max="12044"/>
    <col width="14.58203125" customWidth="1" style="241" min="12045" max="12045"/>
    <col width="16.58203125" customWidth="1" style="241" min="12046" max="12046"/>
    <col width="14.58203125" bestFit="1" customWidth="1" style="241" min="12047" max="12047"/>
    <col width="7.58203125" customWidth="1" style="241" min="12048" max="12049"/>
    <col width="15.5" customWidth="1" style="241" min="12050" max="12050"/>
    <col width="7.58203125" customWidth="1" style="241" min="12051" max="12287"/>
    <col width="1.5" customWidth="1" style="241" min="12288" max="12288"/>
    <col width="26.5" customWidth="1" style="241" min="12289" max="12289"/>
    <col width="16.83203125" customWidth="1" style="241" min="12290" max="12290"/>
    <col width="23.83203125" customWidth="1" style="241" min="12291" max="12291"/>
    <col width="20.5" customWidth="1" style="241" min="12292" max="12292"/>
    <col width="23" customWidth="1" style="241" min="12293" max="12293"/>
    <col width="28.08203125" customWidth="1" style="241" min="12294" max="12294"/>
    <col width="27.58203125" customWidth="1" style="241" min="12295" max="12295"/>
    <col width="15.5" customWidth="1" style="241" min="12296" max="12296"/>
    <col width="2" customWidth="1" style="241" min="12297" max="12297"/>
    <col width="21.58203125" customWidth="1" style="241" min="12298" max="12298"/>
    <col width="19" customWidth="1" style="241" min="12299" max="12299"/>
    <col width="17" customWidth="1" style="241" min="12300" max="12300"/>
    <col width="14.58203125" customWidth="1" style="241" min="12301" max="12301"/>
    <col width="16.58203125" customWidth="1" style="241" min="12302" max="12302"/>
    <col width="14.58203125" bestFit="1" customWidth="1" style="241" min="12303" max="12303"/>
    <col width="7.58203125" customWidth="1" style="241" min="12304" max="12305"/>
    <col width="15.5" customWidth="1" style="241" min="12306" max="12306"/>
    <col width="7.58203125" customWidth="1" style="241" min="12307" max="12543"/>
    <col width="1.5" customWidth="1" style="241" min="12544" max="12544"/>
    <col width="26.5" customWidth="1" style="241" min="12545" max="12545"/>
    <col width="16.83203125" customWidth="1" style="241" min="12546" max="12546"/>
    <col width="23.83203125" customWidth="1" style="241" min="12547" max="12547"/>
    <col width="20.5" customWidth="1" style="241" min="12548" max="12548"/>
    <col width="23" customWidth="1" style="241" min="12549" max="12549"/>
    <col width="28.08203125" customWidth="1" style="241" min="12550" max="12550"/>
    <col width="27.58203125" customWidth="1" style="241" min="12551" max="12551"/>
    <col width="15.5" customWidth="1" style="241" min="12552" max="12552"/>
    <col width="2" customWidth="1" style="241" min="12553" max="12553"/>
    <col width="21.58203125" customWidth="1" style="241" min="12554" max="12554"/>
    <col width="19" customWidth="1" style="241" min="12555" max="12555"/>
    <col width="17" customWidth="1" style="241" min="12556" max="12556"/>
    <col width="14.58203125" customWidth="1" style="241" min="12557" max="12557"/>
    <col width="16.58203125" customWidth="1" style="241" min="12558" max="12558"/>
    <col width="14.58203125" bestFit="1" customWidth="1" style="241" min="12559" max="12559"/>
    <col width="7.58203125" customWidth="1" style="241" min="12560" max="12561"/>
    <col width="15.5" customWidth="1" style="241" min="12562" max="12562"/>
    <col width="7.58203125" customWidth="1" style="241" min="12563" max="12799"/>
    <col width="1.5" customWidth="1" style="241" min="12800" max="12800"/>
    <col width="26.5" customWidth="1" style="241" min="12801" max="12801"/>
    <col width="16.83203125" customWidth="1" style="241" min="12802" max="12802"/>
    <col width="23.83203125" customWidth="1" style="241" min="12803" max="12803"/>
    <col width="20.5" customWidth="1" style="241" min="12804" max="12804"/>
    <col width="23" customWidth="1" style="241" min="12805" max="12805"/>
    <col width="28.08203125" customWidth="1" style="241" min="12806" max="12806"/>
    <col width="27.58203125" customWidth="1" style="241" min="12807" max="12807"/>
    <col width="15.5" customWidth="1" style="241" min="12808" max="12808"/>
    <col width="2" customWidth="1" style="241" min="12809" max="12809"/>
    <col width="21.58203125" customWidth="1" style="241" min="12810" max="12810"/>
    <col width="19" customWidth="1" style="241" min="12811" max="12811"/>
    <col width="17" customWidth="1" style="241" min="12812" max="12812"/>
    <col width="14.58203125" customWidth="1" style="241" min="12813" max="12813"/>
    <col width="16.58203125" customWidth="1" style="241" min="12814" max="12814"/>
    <col width="14.58203125" bestFit="1" customWidth="1" style="241" min="12815" max="12815"/>
    <col width="7.58203125" customWidth="1" style="241" min="12816" max="12817"/>
    <col width="15.5" customWidth="1" style="241" min="12818" max="12818"/>
    <col width="7.58203125" customWidth="1" style="241" min="12819" max="13055"/>
    <col width="1.5" customWidth="1" style="241" min="13056" max="13056"/>
    <col width="26.5" customWidth="1" style="241" min="13057" max="13057"/>
    <col width="16.83203125" customWidth="1" style="241" min="13058" max="13058"/>
    <col width="23.83203125" customWidth="1" style="241" min="13059" max="13059"/>
    <col width="20.5" customWidth="1" style="241" min="13060" max="13060"/>
    <col width="23" customWidth="1" style="241" min="13061" max="13061"/>
    <col width="28.08203125" customWidth="1" style="241" min="13062" max="13062"/>
    <col width="27.58203125" customWidth="1" style="241" min="13063" max="13063"/>
    <col width="15.5" customWidth="1" style="241" min="13064" max="13064"/>
    <col width="2" customWidth="1" style="241" min="13065" max="13065"/>
    <col width="21.58203125" customWidth="1" style="241" min="13066" max="13066"/>
    <col width="19" customWidth="1" style="241" min="13067" max="13067"/>
    <col width="17" customWidth="1" style="241" min="13068" max="13068"/>
    <col width="14.58203125" customWidth="1" style="241" min="13069" max="13069"/>
    <col width="16.58203125" customWidth="1" style="241" min="13070" max="13070"/>
    <col width="14.58203125" bestFit="1" customWidth="1" style="241" min="13071" max="13071"/>
    <col width="7.58203125" customWidth="1" style="241" min="13072" max="13073"/>
    <col width="15.5" customWidth="1" style="241" min="13074" max="13074"/>
    <col width="7.58203125" customWidth="1" style="241" min="13075" max="13311"/>
    <col width="1.5" customWidth="1" style="241" min="13312" max="13312"/>
    <col width="26.5" customWidth="1" style="241" min="13313" max="13313"/>
    <col width="16.83203125" customWidth="1" style="241" min="13314" max="13314"/>
    <col width="23.83203125" customWidth="1" style="241" min="13315" max="13315"/>
    <col width="20.5" customWidth="1" style="241" min="13316" max="13316"/>
    <col width="23" customWidth="1" style="241" min="13317" max="13317"/>
    <col width="28.08203125" customWidth="1" style="241" min="13318" max="13318"/>
    <col width="27.58203125" customWidth="1" style="241" min="13319" max="13319"/>
    <col width="15.5" customWidth="1" style="241" min="13320" max="13320"/>
    <col width="2" customWidth="1" style="241" min="13321" max="13321"/>
    <col width="21.58203125" customWidth="1" style="241" min="13322" max="13322"/>
    <col width="19" customWidth="1" style="241" min="13323" max="13323"/>
    <col width="17" customWidth="1" style="241" min="13324" max="13324"/>
    <col width="14.58203125" customWidth="1" style="241" min="13325" max="13325"/>
    <col width="16.58203125" customWidth="1" style="241" min="13326" max="13326"/>
    <col width="14.58203125" bestFit="1" customWidth="1" style="241" min="13327" max="13327"/>
    <col width="7.58203125" customWidth="1" style="241" min="13328" max="13329"/>
    <col width="15.5" customWidth="1" style="241" min="13330" max="13330"/>
    <col width="7.58203125" customWidth="1" style="241" min="13331" max="13567"/>
    <col width="1.5" customWidth="1" style="241" min="13568" max="13568"/>
    <col width="26.5" customWidth="1" style="241" min="13569" max="13569"/>
    <col width="16.83203125" customWidth="1" style="241" min="13570" max="13570"/>
    <col width="23.83203125" customWidth="1" style="241" min="13571" max="13571"/>
    <col width="20.5" customWidth="1" style="241" min="13572" max="13572"/>
    <col width="23" customWidth="1" style="241" min="13573" max="13573"/>
    <col width="28.08203125" customWidth="1" style="241" min="13574" max="13574"/>
    <col width="27.58203125" customWidth="1" style="241" min="13575" max="13575"/>
    <col width="15.5" customWidth="1" style="241" min="13576" max="13576"/>
    <col width="2" customWidth="1" style="241" min="13577" max="13577"/>
    <col width="21.58203125" customWidth="1" style="241" min="13578" max="13578"/>
    <col width="19" customWidth="1" style="241" min="13579" max="13579"/>
    <col width="17" customWidth="1" style="241" min="13580" max="13580"/>
    <col width="14.58203125" customWidth="1" style="241" min="13581" max="13581"/>
    <col width="16.58203125" customWidth="1" style="241" min="13582" max="13582"/>
    <col width="14.58203125" bestFit="1" customWidth="1" style="241" min="13583" max="13583"/>
    <col width="7.58203125" customWidth="1" style="241" min="13584" max="13585"/>
    <col width="15.5" customWidth="1" style="241" min="13586" max="13586"/>
    <col width="7.58203125" customWidth="1" style="241" min="13587" max="13823"/>
    <col width="1.5" customWidth="1" style="241" min="13824" max="13824"/>
    <col width="26.5" customWidth="1" style="241" min="13825" max="13825"/>
    <col width="16.83203125" customWidth="1" style="241" min="13826" max="13826"/>
    <col width="23.83203125" customWidth="1" style="241" min="13827" max="13827"/>
    <col width="20.5" customWidth="1" style="241" min="13828" max="13828"/>
    <col width="23" customWidth="1" style="241" min="13829" max="13829"/>
    <col width="28.08203125" customWidth="1" style="241" min="13830" max="13830"/>
    <col width="27.58203125" customWidth="1" style="241" min="13831" max="13831"/>
    <col width="15.5" customWidth="1" style="241" min="13832" max="13832"/>
    <col width="2" customWidth="1" style="241" min="13833" max="13833"/>
    <col width="21.58203125" customWidth="1" style="241" min="13834" max="13834"/>
    <col width="19" customWidth="1" style="241" min="13835" max="13835"/>
    <col width="17" customWidth="1" style="241" min="13836" max="13836"/>
    <col width="14.58203125" customWidth="1" style="241" min="13837" max="13837"/>
    <col width="16.58203125" customWidth="1" style="241" min="13838" max="13838"/>
    <col width="14.58203125" bestFit="1" customWidth="1" style="241" min="13839" max="13839"/>
    <col width="7.58203125" customWidth="1" style="241" min="13840" max="13841"/>
    <col width="15.5" customWidth="1" style="241" min="13842" max="13842"/>
    <col width="7.58203125" customWidth="1" style="241" min="13843" max="14079"/>
    <col width="1.5" customWidth="1" style="241" min="14080" max="14080"/>
    <col width="26.5" customWidth="1" style="241" min="14081" max="14081"/>
    <col width="16.83203125" customWidth="1" style="241" min="14082" max="14082"/>
    <col width="23.83203125" customWidth="1" style="241" min="14083" max="14083"/>
    <col width="20.5" customWidth="1" style="241" min="14084" max="14084"/>
    <col width="23" customWidth="1" style="241" min="14085" max="14085"/>
    <col width="28.08203125" customWidth="1" style="241" min="14086" max="14086"/>
    <col width="27.58203125" customWidth="1" style="241" min="14087" max="14087"/>
    <col width="15.5" customWidth="1" style="241" min="14088" max="14088"/>
    <col width="2" customWidth="1" style="241" min="14089" max="14089"/>
    <col width="21.58203125" customWidth="1" style="241" min="14090" max="14090"/>
    <col width="19" customWidth="1" style="241" min="14091" max="14091"/>
    <col width="17" customWidth="1" style="241" min="14092" max="14092"/>
    <col width="14.58203125" customWidth="1" style="241" min="14093" max="14093"/>
    <col width="16.58203125" customWidth="1" style="241" min="14094" max="14094"/>
    <col width="14.58203125" bestFit="1" customWidth="1" style="241" min="14095" max="14095"/>
    <col width="7.58203125" customWidth="1" style="241" min="14096" max="14097"/>
    <col width="15.5" customWidth="1" style="241" min="14098" max="14098"/>
    <col width="7.58203125" customWidth="1" style="241" min="14099" max="14335"/>
    <col width="1.5" customWidth="1" style="241" min="14336" max="14336"/>
    <col width="26.5" customWidth="1" style="241" min="14337" max="14337"/>
    <col width="16.83203125" customWidth="1" style="241" min="14338" max="14338"/>
    <col width="23.83203125" customWidth="1" style="241" min="14339" max="14339"/>
    <col width="20.5" customWidth="1" style="241" min="14340" max="14340"/>
    <col width="23" customWidth="1" style="241" min="14341" max="14341"/>
    <col width="28.08203125" customWidth="1" style="241" min="14342" max="14342"/>
    <col width="27.58203125" customWidth="1" style="241" min="14343" max="14343"/>
    <col width="15.5" customWidth="1" style="241" min="14344" max="14344"/>
    <col width="2" customWidth="1" style="241" min="14345" max="14345"/>
    <col width="21.58203125" customWidth="1" style="241" min="14346" max="14346"/>
    <col width="19" customWidth="1" style="241" min="14347" max="14347"/>
    <col width="17" customWidth="1" style="241" min="14348" max="14348"/>
    <col width="14.58203125" customWidth="1" style="241" min="14349" max="14349"/>
    <col width="16.58203125" customWidth="1" style="241" min="14350" max="14350"/>
    <col width="14.58203125" bestFit="1" customWidth="1" style="241" min="14351" max="14351"/>
    <col width="7.58203125" customWidth="1" style="241" min="14352" max="14353"/>
    <col width="15.5" customWidth="1" style="241" min="14354" max="14354"/>
    <col width="7.58203125" customWidth="1" style="241" min="14355" max="14591"/>
    <col width="1.5" customWidth="1" style="241" min="14592" max="14592"/>
    <col width="26.5" customWidth="1" style="241" min="14593" max="14593"/>
    <col width="16.83203125" customWidth="1" style="241" min="14594" max="14594"/>
    <col width="23.83203125" customWidth="1" style="241" min="14595" max="14595"/>
    <col width="20.5" customWidth="1" style="241" min="14596" max="14596"/>
    <col width="23" customWidth="1" style="241" min="14597" max="14597"/>
    <col width="28.08203125" customWidth="1" style="241" min="14598" max="14598"/>
    <col width="27.58203125" customWidth="1" style="241" min="14599" max="14599"/>
    <col width="15.5" customWidth="1" style="241" min="14600" max="14600"/>
    <col width="2" customWidth="1" style="241" min="14601" max="14601"/>
    <col width="21.58203125" customWidth="1" style="241" min="14602" max="14602"/>
    <col width="19" customWidth="1" style="241" min="14603" max="14603"/>
    <col width="17" customWidth="1" style="241" min="14604" max="14604"/>
    <col width="14.58203125" customWidth="1" style="241" min="14605" max="14605"/>
    <col width="16.58203125" customWidth="1" style="241" min="14606" max="14606"/>
    <col width="14.58203125" bestFit="1" customWidth="1" style="241" min="14607" max="14607"/>
    <col width="7.58203125" customWidth="1" style="241" min="14608" max="14609"/>
    <col width="15.5" customWidth="1" style="241" min="14610" max="14610"/>
    <col width="7.58203125" customWidth="1" style="241" min="14611" max="14847"/>
    <col width="1.5" customWidth="1" style="241" min="14848" max="14848"/>
    <col width="26.5" customWidth="1" style="241" min="14849" max="14849"/>
    <col width="16.83203125" customWidth="1" style="241" min="14850" max="14850"/>
    <col width="23.83203125" customWidth="1" style="241" min="14851" max="14851"/>
    <col width="20.5" customWidth="1" style="241" min="14852" max="14852"/>
    <col width="23" customWidth="1" style="241" min="14853" max="14853"/>
    <col width="28.08203125" customWidth="1" style="241" min="14854" max="14854"/>
    <col width="27.58203125" customWidth="1" style="241" min="14855" max="14855"/>
    <col width="15.5" customWidth="1" style="241" min="14856" max="14856"/>
    <col width="2" customWidth="1" style="241" min="14857" max="14857"/>
    <col width="21.58203125" customWidth="1" style="241" min="14858" max="14858"/>
    <col width="19" customWidth="1" style="241" min="14859" max="14859"/>
    <col width="17" customWidth="1" style="241" min="14860" max="14860"/>
    <col width="14.58203125" customWidth="1" style="241" min="14861" max="14861"/>
    <col width="16.58203125" customWidth="1" style="241" min="14862" max="14862"/>
    <col width="14.58203125" bestFit="1" customWidth="1" style="241" min="14863" max="14863"/>
    <col width="7.58203125" customWidth="1" style="241" min="14864" max="14865"/>
    <col width="15.5" customWidth="1" style="241" min="14866" max="14866"/>
    <col width="7.58203125" customWidth="1" style="241" min="14867" max="15103"/>
    <col width="1.5" customWidth="1" style="241" min="15104" max="15104"/>
    <col width="26.5" customWidth="1" style="241" min="15105" max="15105"/>
    <col width="16.83203125" customWidth="1" style="241" min="15106" max="15106"/>
    <col width="23.83203125" customWidth="1" style="241" min="15107" max="15107"/>
    <col width="20.5" customWidth="1" style="241" min="15108" max="15108"/>
    <col width="23" customWidth="1" style="241" min="15109" max="15109"/>
    <col width="28.08203125" customWidth="1" style="241" min="15110" max="15110"/>
    <col width="27.58203125" customWidth="1" style="241" min="15111" max="15111"/>
    <col width="15.5" customWidth="1" style="241" min="15112" max="15112"/>
    <col width="2" customWidth="1" style="241" min="15113" max="15113"/>
    <col width="21.58203125" customWidth="1" style="241" min="15114" max="15114"/>
    <col width="19" customWidth="1" style="241" min="15115" max="15115"/>
    <col width="17" customWidth="1" style="241" min="15116" max="15116"/>
    <col width="14.58203125" customWidth="1" style="241" min="15117" max="15117"/>
    <col width="16.58203125" customWidth="1" style="241" min="15118" max="15118"/>
    <col width="14.58203125" bestFit="1" customWidth="1" style="241" min="15119" max="15119"/>
    <col width="7.58203125" customWidth="1" style="241" min="15120" max="15121"/>
    <col width="15.5" customWidth="1" style="241" min="15122" max="15122"/>
    <col width="7.58203125" customWidth="1" style="241" min="15123" max="15359"/>
    <col width="1.5" customWidth="1" style="241" min="15360" max="15360"/>
    <col width="26.5" customWidth="1" style="241" min="15361" max="15361"/>
    <col width="16.83203125" customWidth="1" style="241" min="15362" max="15362"/>
    <col width="23.83203125" customWidth="1" style="241" min="15363" max="15363"/>
    <col width="20.5" customWidth="1" style="241" min="15364" max="15364"/>
    <col width="23" customWidth="1" style="241" min="15365" max="15365"/>
    <col width="28.08203125" customWidth="1" style="241" min="15366" max="15366"/>
    <col width="27.58203125" customWidth="1" style="241" min="15367" max="15367"/>
    <col width="15.5" customWidth="1" style="241" min="15368" max="15368"/>
    <col width="2" customWidth="1" style="241" min="15369" max="15369"/>
    <col width="21.58203125" customWidth="1" style="241" min="15370" max="15370"/>
    <col width="19" customWidth="1" style="241" min="15371" max="15371"/>
    <col width="17" customWidth="1" style="241" min="15372" max="15372"/>
    <col width="14.58203125" customWidth="1" style="241" min="15373" max="15373"/>
    <col width="16.58203125" customWidth="1" style="241" min="15374" max="15374"/>
    <col width="14.58203125" bestFit="1" customWidth="1" style="241" min="15375" max="15375"/>
    <col width="7.58203125" customWidth="1" style="241" min="15376" max="15377"/>
    <col width="15.5" customWidth="1" style="241" min="15378" max="15378"/>
    <col width="7.58203125" customWidth="1" style="241" min="15379" max="15615"/>
    <col width="1.5" customWidth="1" style="241" min="15616" max="15616"/>
    <col width="26.5" customWidth="1" style="241" min="15617" max="15617"/>
    <col width="16.83203125" customWidth="1" style="241" min="15618" max="15618"/>
    <col width="23.83203125" customWidth="1" style="241" min="15619" max="15619"/>
    <col width="20.5" customWidth="1" style="241" min="15620" max="15620"/>
    <col width="23" customWidth="1" style="241" min="15621" max="15621"/>
    <col width="28.08203125" customWidth="1" style="241" min="15622" max="15622"/>
    <col width="27.58203125" customWidth="1" style="241" min="15623" max="15623"/>
    <col width="15.5" customWidth="1" style="241" min="15624" max="15624"/>
    <col width="2" customWidth="1" style="241" min="15625" max="15625"/>
    <col width="21.58203125" customWidth="1" style="241" min="15626" max="15626"/>
    <col width="19" customWidth="1" style="241" min="15627" max="15627"/>
    <col width="17" customWidth="1" style="241" min="15628" max="15628"/>
    <col width="14.58203125" customWidth="1" style="241" min="15629" max="15629"/>
    <col width="16.58203125" customWidth="1" style="241" min="15630" max="15630"/>
    <col width="14.58203125" bestFit="1" customWidth="1" style="241" min="15631" max="15631"/>
    <col width="7.58203125" customWidth="1" style="241" min="15632" max="15633"/>
    <col width="15.5" customWidth="1" style="241" min="15634" max="15634"/>
    <col width="7.58203125" customWidth="1" style="241" min="15635" max="15871"/>
    <col width="1.5" customWidth="1" style="241" min="15872" max="15872"/>
    <col width="26.5" customWidth="1" style="241" min="15873" max="15873"/>
    <col width="16.83203125" customWidth="1" style="241" min="15874" max="15874"/>
    <col width="23.83203125" customWidth="1" style="241" min="15875" max="15875"/>
    <col width="20.5" customWidth="1" style="241" min="15876" max="15876"/>
    <col width="23" customWidth="1" style="241" min="15877" max="15877"/>
    <col width="28.08203125" customWidth="1" style="241" min="15878" max="15878"/>
    <col width="27.58203125" customWidth="1" style="241" min="15879" max="15879"/>
    <col width="15.5" customWidth="1" style="241" min="15880" max="15880"/>
    <col width="2" customWidth="1" style="241" min="15881" max="15881"/>
    <col width="21.58203125" customWidth="1" style="241" min="15882" max="15882"/>
    <col width="19" customWidth="1" style="241" min="15883" max="15883"/>
    <col width="17" customWidth="1" style="241" min="15884" max="15884"/>
    <col width="14.58203125" customWidth="1" style="241" min="15885" max="15885"/>
    <col width="16.58203125" customWidth="1" style="241" min="15886" max="15886"/>
    <col width="14.58203125" bestFit="1" customWidth="1" style="241" min="15887" max="15887"/>
    <col width="7.58203125" customWidth="1" style="241" min="15888" max="15889"/>
    <col width="15.5" customWidth="1" style="241" min="15890" max="15890"/>
    <col width="7.58203125" customWidth="1" style="241" min="15891" max="16127"/>
    <col width="1.5" customWidth="1" style="241" min="16128" max="16128"/>
    <col width="26.5" customWidth="1" style="241" min="16129" max="16129"/>
    <col width="16.83203125" customWidth="1" style="241" min="16130" max="16130"/>
    <col width="23.83203125" customWidth="1" style="241" min="16131" max="16131"/>
    <col width="20.5" customWidth="1" style="241" min="16132" max="16132"/>
    <col width="23" customWidth="1" style="241" min="16133" max="16133"/>
    <col width="28.08203125" customWidth="1" style="241" min="16134" max="16134"/>
    <col width="27.58203125" customWidth="1" style="241" min="16135" max="16135"/>
    <col width="15.5" customWidth="1" style="241" min="16136" max="16136"/>
    <col width="2" customWidth="1" style="241" min="16137" max="16137"/>
    <col width="21.58203125" customWidth="1" style="241" min="16138" max="16138"/>
    <col width="19" customWidth="1" style="241" min="16139" max="16139"/>
    <col width="17" customWidth="1" style="241" min="16140" max="16140"/>
    <col width="14.58203125" customWidth="1" style="241" min="16141" max="16141"/>
    <col width="16.58203125" customWidth="1" style="241" min="16142" max="16142"/>
    <col width="14.58203125" bestFit="1" customWidth="1" style="241" min="16143" max="16143"/>
    <col width="7.58203125" customWidth="1" style="241" min="16144" max="16145"/>
    <col width="15.5" customWidth="1" style="241" min="16146" max="16146"/>
    <col width="7.58203125" customWidth="1" style="241" min="16147" max="16384"/>
  </cols>
  <sheetData>
    <row r="1" ht="23.5" customFormat="1" customHeight="1" s="240" thickBot="1">
      <c r="A1" s="308" t="n"/>
      <c r="B1" s="309" t="n"/>
      <c r="C1" s="309" t="n"/>
      <c r="D1" s="309" t="n"/>
      <c r="E1" s="309" t="n"/>
      <c r="F1" s="309" t="n"/>
      <c r="G1" s="309" t="n"/>
      <c r="H1" s="309" t="n"/>
      <c r="I1" s="309" t="n"/>
      <c r="J1" s="303" t="n"/>
      <c r="K1" s="310" t="n"/>
      <c r="L1" s="310" t="n"/>
      <c r="M1" s="302" t="n"/>
      <c r="N1" s="302" t="n"/>
      <c r="O1" s="302" t="n"/>
      <c r="P1" s="302" t="n"/>
      <c r="Q1" s="302" t="n"/>
      <c r="R1" s="302" t="n"/>
      <c r="S1" s="302" t="n"/>
      <c r="T1" s="302" t="n"/>
      <c r="U1" s="302" t="n"/>
      <c r="V1" s="302" t="n"/>
      <c r="W1" s="302" t="n"/>
      <c r="X1" s="302" t="n"/>
      <c r="Y1" s="302" t="n"/>
      <c r="Z1" s="302" t="n"/>
      <c r="AA1" s="302" t="n"/>
      <c r="AB1" s="302" t="n"/>
      <c r="AC1" s="302" t="n"/>
      <c r="AD1" s="302" t="n"/>
      <c r="AE1" s="302" t="n"/>
      <c r="AF1" s="302" t="n"/>
      <c r="AG1" s="302" t="n"/>
      <c r="AH1" s="302" t="n"/>
      <c r="AI1" s="302" t="n"/>
    </row>
    <row r="2" ht="23.5" customHeight="1" thickTop="1">
      <c r="A2" s="302" t="n"/>
      <c r="B2" s="302" t="n"/>
      <c r="C2" s="311" t="n"/>
      <c r="D2" s="311" t="n"/>
      <c r="E2" s="308" t="n"/>
      <c r="F2" s="311" t="n"/>
      <c r="G2" s="312" t="n"/>
      <c r="H2" s="302" t="n"/>
      <c r="I2" s="308" t="n"/>
      <c r="J2" s="302" t="n"/>
      <c r="K2" s="310" t="n"/>
      <c r="L2" s="310" t="n"/>
      <c r="M2" s="302" t="n"/>
      <c r="N2" s="302" t="n"/>
      <c r="O2" s="302" t="n"/>
      <c r="P2" s="302" t="n"/>
      <c r="Q2" s="302" t="n"/>
      <c r="R2" s="302" t="n"/>
      <c r="S2" s="302" t="n"/>
      <c r="T2" s="302" t="n"/>
      <c r="U2" s="302" t="n"/>
      <c r="V2" s="302" t="n"/>
      <c r="W2" s="302" t="n"/>
      <c r="X2" s="302" t="n"/>
      <c r="Y2" s="302" t="n"/>
      <c r="Z2" s="302" t="n"/>
      <c r="AA2" s="302" t="n"/>
      <c r="AB2" s="302" t="n"/>
      <c r="AC2" s="302" t="n"/>
      <c r="AD2" s="302" t="n"/>
      <c r="AE2" s="302" t="n"/>
      <c r="AF2" s="302" t="n"/>
      <c r="AG2" s="302" t="n"/>
      <c r="AH2" s="302" t="n"/>
      <c r="AI2" s="302" t="n"/>
    </row>
    <row r="3" ht="23.5" customHeight="1">
      <c r="A3" s="302" t="n"/>
      <c r="B3" s="242" t="inlineStr">
        <is>
          <t>Sales assumptions</t>
        </is>
      </c>
      <c r="C3" s="312" t="n"/>
      <c r="D3" s="302" t="n"/>
      <c r="E3" s="292" t="n"/>
      <c r="F3" s="308" t="n"/>
      <c r="G3" s="312" t="n"/>
      <c r="H3" s="302" t="n"/>
      <c r="I3" s="308" t="n"/>
      <c r="J3" s="302" t="n"/>
      <c r="K3" s="310" t="n"/>
      <c r="L3" s="310" t="n"/>
      <c r="M3" s="302" t="n"/>
      <c r="N3" s="302" t="n"/>
      <c r="O3" s="302" t="n"/>
      <c r="P3" s="302" t="n"/>
      <c r="Q3" s="302" t="n"/>
      <c r="R3" s="302" t="n"/>
      <c r="S3" s="302" t="n"/>
      <c r="T3" s="302" t="n"/>
      <c r="U3" s="302" t="n"/>
      <c r="V3" s="302" t="n"/>
      <c r="W3" s="302" t="n"/>
      <c r="X3" s="302" t="n"/>
      <c r="Y3" s="302" t="n"/>
      <c r="Z3" s="302" t="n"/>
      <c r="AA3" s="302" t="n"/>
      <c r="AB3" s="302" t="n"/>
      <c r="AC3" s="302" t="n"/>
      <c r="AD3" s="302" t="n"/>
      <c r="AE3" s="302" t="n"/>
      <c r="AF3" s="302" t="n"/>
      <c r="AG3" s="302" t="n"/>
      <c r="AH3" s="302" t="n"/>
      <c r="AI3" s="302" t="n"/>
    </row>
    <row r="4" ht="23.5" customHeight="1">
      <c r="A4" s="302" t="n"/>
      <c r="B4" s="242" t="n"/>
      <c r="C4" s="312" t="n"/>
      <c r="D4" s="302" t="n"/>
      <c r="E4" s="292" t="n"/>
      <c r="F4" s="308" t="n"/>
      <c r="G4" s="312" t="n"/>
      <c r="H4" s="302" t="n"/>
      <c r="I4" s="308" t="n"/>
      <c r="J4" s="302" t="n"/>
      <c r="K4" s="310" t="n"/>
      <c r="L4" s="310" t="n"/>
      <c r="M4" s="302" t="n"/>
      <c r="N4" s="302" t="n"/>
      <c r="O4" s="302" t="n"/>
      <c r="P4" s="302" t="n"/>
      <c r="Q4" s="302" t="n"/>
      <c r="R4" s="302" t="n"/>
      <c r="S4" s="302" t="n"/>
      <c r="T4" s="302" t="n"/>
      <c r="U4" s="302" t="n"/>
      <c r="V4" s="302" t="n"/>
      <c r="W4" s="302" t="n"/>
      <c r="X4" s="302" t="n"/>
      <c r="Y4" s="302" t="n"/>
      <c r="Z4" s="302" t="n"/>
      <c r="AA4" s="302" t="n"/>
      <c r="AB4" s="302" t="n"/>
      <c r="AC4" s="302" t="n"/>
      <c r="AD4" s="302" t="n"/>
      <c r="AE4" s="302" t="n"/>
      <c r="AF4" s="302" t="n"/>
      <c r="AG4" s="302" t="n"/>
      <c r="AH4" s="302" t="n"/>
      <c r="AI4" s="302" t="n"/>
    </row>
    <row r="5" ht="23.5" customHeight="1">
      <c r="A5" s="302" t="n"/>
      <c r="B5" s="297" t="inlineStr">
        <is>
          <t>Name:</t>
        </is>
      </c>
      <c r="C5" s="435">
        <f>IF(ISBLANK(Guidance!$E$3),"",Guidance!$E$3)</f>
        <v/>
      </c>
      <c r="D5" s="914" t="n"/>
      <c r="E5" s="914" t="n"/>
      <c r="F5" s="914" t="n"/>
      <c r="G5" s="914" t="n"/>
      <c r="H5" s="914" t="n"/>
      <c r="I5" s="914" t="n"/>
      <c r="J5" s="914" t="n"/>
      <c r="K5" s="310" t="n"/>
      <c r="L5" s="310" t="n"/>
      <c r="M5" s="302" t="n"/>
      <c r="N5" s="302" t="n"/>
      <c r="O5" s="302" t="n"/>
      <c r="P5" s="302" t="n"/>
      <c r="Q5" s="302" t="n"/>
      <c r="R5" s="302" t="n"/>
      <c r="S5" s="302" t="n"/>
      <c r="T5" s="302" t="n"/>
      <c r="U5" s="302" t="n"/>
      <c r="V5" s="302" t="n"/>
      <c r="W5" s="302" t="n"/>
      <c r="X5" s="302" t="n"/>
      <c r="Y5" s="302" t="n"/>
      <c r="Z5" s="302" t="n"/>
      <c r="AA5" s="302" t="n"/>
      <c r="AB5" s="302" t="n"/>
      <c r="AC5" s="302" t="n"/>
      <c r="AD5" s="302" t="n"/>
      <c r="AE5" s="302" t="n"/>
      <c r="AF5" s="302" t="n"/>
      <c r="AG5" s="302" t="n"/>
      <c r="AH5" s="302" t="n"/>
      <c r="AI5" s="302" t="n"/>
    </row>
    <row r="6" ht="23.5" customHeight="1">
      <c r="A6" s="302" t="n"/>
      <c r="B6" s="297" t="inlineStr">
        <is>
          <t>Company Name:</t>
        </is>
      </c>
      <c r="C6" s="435">
        <f>IF(ISBLANK(Guidance!$E$4),"",Guidance!$E$4)</f>
        <v/>
      </c>
      <c r="D6" s="914" t="n"/>
      <c r="E6" s="914" t="n"/>
      <c r="F6" s="914" t="n"/>
      <c r="G6" s="914" t="n"/>
      <c r="H6" s="914" t="n"/>
      <c r="I6" s="914" t="n"/>
      <c r="J6" s="914" t="n"/>
      <c r="K6" s="310" t="n"/>
      <c r="L6" s="310" t="n"/>
      <c r="M6" s="302" t="n"/>
      <c r="N6" s="302" t="n"/>
      <c r="O6" s="302" t="n"/>
      <c r="P6" s="302" t="n"/>
      <c r="Q6" s="302" t="n"/>
      <c r="R6" s="302" t="n"/>
      <c r="S6" s="302" t="n"/>
      <c r="T6" s="302" t="n"/>
      <c r="U6" s="302" t="n"/>
      <c r="V6" s="302" t="n"/>
      <c r="W6" s="302" t="n"/>
      <c r="X6" s="302" t="n"/>
      <c r="Y6" s="302" t="n"/>
      <c r="Z6" s="302" t="n"/>
      <c r="AA6" s="302" t="n"/>
      <c r="AB6" s="302" t="n"/>
      <c r="AC6" s="302" t="n"/>
      <c r="AD6" s="302" t="n"/>
      <c r="AE6" s="302" t="n"/>
      <c r="AF6" s="302" t="n"/>
      <c r="AG6" s="302" t="n"/>
      <c r="AH6" s="302" t="n"/>
      <c r="AI6" s="302" t="n"/>
    </row>
    <row r="7" ht="23.5" customHeight="1" thickBot="1">
      <c r="A7" s="302" t="n"/>
      <c r="B7" s="302" t="n"/>
      <c r="C7" s="311" t="n"/>
      <c r="D7" s="311" t="n"/>
      <c r="E7" s="308" t="n"/>
      <c r="F7" s="311" t="n"/>
      <c r="G7" s="312" t="n"/>
      <c r="H7" s="302" t="n"/>
      <c r="I7" s="308" t="n"/>
      <c r="J7" s="302" t="n"/>
      <c r="K7" s="310" t="n"/>
      <c r="L7" s="310" t="n"/>
      <c r="M7" s="302" t="n"/>
      <c r="N7" s="302" t="n"/>
      <c r="O7" s="302" t="n"/>
      <c r="P7" s="302" t="n"/>
      <c r="Q7" s="302" t="n"/>
      <c r="R7" s="302" t="n"/>
      <c r="S7" s="302" t="n"/>
      <c r="T7" s="302" t="n"/>
      <c r="U7" s="302" t="n"/>
      <c r="V7" s="302" t="n"/>
      <c r="W7" s="302" t="n"/>
      <c r="X7" s="302" t="n"/>
      <c r="Y7" s="302" t="n"/>
      <c r="Z7" s="302" t="n"/>
      <c r="AA7" s="302" t="n"/>
      <c r="AB7" s="302" t="n"/>
      <c r="AC7" s="302" t="n"/>
      <c r="AD7" s="302" t="n"/>
      <c r="AE7" s="302" t="n"/>
      <c r="AF7" s="302" t="n"/>
      <c r="AG7" s="302" t="n"/>
      <c r="AH7" s="302" t="n"/>
      <c r="AI7" s="302" t="n"/>
    </row>
    <row r="8" ht="23.5" customHeight="1">
      <c r="A8" s="302" t="n"/>
      <c r="B8" s="1103" t="inlineStr">
        <is>
          <t>The Sales Assumptions template will help you work out your anticipated sales and cost of sales for your business for the next 
12-months. This will help your Business Adviser better understand any assumptions you have made in your forecasting.
 - You will be asked to choose a start month for your Sales Assumptions; this should be the next month after you expect to receive the loan;
 - The template will ask you to list the various product(s) and/or service(s) that your business offers and there is space for up to four items to be listed. If your business has more than this, consider grouping them together;
 - Work through this template in the order it sets out, as each section corresponds to the one that follows;
 - First you will be asked to write down the sale price of each item, and how much it costs you to produce for each individual unit;
 - Then you will asked to estimate the number of sales you will make for each item over the 12-months following from your preferred start date. Once you have entered this information, this will be used to calculate your total anticipated sales and cost of sales for the remainder of the year;
 - The Sales Assumptions is linked to the CFF tab so that your total anticipated sales and cost of sales are automatically populated. If you need to make any changes, make them in the Sales Assumptions tab and the updates will appear in your CFF;
 - There is a commentary box at the bottom, for which you can use to explain any of your calculations, which you think will be of use to your Business Adviser</t>
        </is>
      </c>
      <c r="C8" s="1104" t="n"/>
      <c r="D8" s="1104" t="n"/>
      <c r="E8" s="1104" t="n"/>
      <c r="F8" s="1104" t="n"/>
      <c r="G8" s="1105" t="n"/>
      <c r="H8" s="313" t="n"/>
      <c r="I8" s="314" t="n"/>
      <c r="J8" s="313" t="n"/>
      <c r="K8" s="310" t="n"/>
      <c r="L8" s="310" t="n"/>
      <c r="M8" s="302" t="n"/>
      <c r="N8" s="302" t="n"/>
      <c r="O8" s="302" t="n"/>
      <c r="P8" s="302" t="n"/>
      <c r="Q8" s="302" t="n"/>
      <c r="R8" s="302" t="n"/>
      <c r="S8" s="302" t="n"/>
      <c r="T8" s="302" t="n"/>
      <c r="U8" s="302" t="n"/>
      <c r="V8" s="302" t="n"/>
      <c r="W8" s="302" t="n"/>
      <c r="X8" s="302" t="n"/>
      <c r="Y8" s="302" t="n"/>
      <c r="Z8" s="302" t="n"/>
      <c r="AA8" s="302" t="n"/>
      <c r="AB8" s="302" t="n"/>
      <c r="AC8" s="302" t="n"/>
      <c r="AD8" s="302" t="n"/>
      <c r="AE8" s="302" t="n"/>
      <c r="AF8" s="302" t="n"/>
      <c r="AG8" s="302" t="n"/>
      <c r="AH8" s="302" t="n"/>
      <c r="AI8" s="302" t="n"/>
    </row>
    <row r="9" ht="23.5" customHeight="1">
      <c r="A9" s="302" t="n"/>
      <c r="B9" s="1106" t="n"/>
      <c r="G9" s="1107" t="n"/>
      <c r="H9" s="302" t="n"/>
      <c r="I9" s="10" t="inlineStr">
        <is>
          <t>Key:</t>
        </is>
      </c>
      <c r="J9" s="302" t="n"/>
      <c r="K9" s="310" t="n"/>
      <c r="L9" s="310" t="n"/>
      <c r="M9" s="302" t="n"/>
      <c r="N9" s="302" t="n"/>
      <c r="O9" s="302" t="n"/>
      <c r="P9" s="302" t="n"/>
      <c r="Q9" s="302" t="n"/>
      <c r="R9" s="302" t="n"/>
      <c r="S9" s="302" t="n"/>
      <c r="T9" s="302" t="n"/>
      <c r="U9" s="302" t="n"/>
      <c r="V9" s="302" t="n"/>
      <c r="W9" s="302" t="n"/>
      <c r="X9" s="302" t="n"/>
      <c r="Y9" s="302" t="n"/>
      <c r="Z9" s="302" t="n"/>
      <c r="AA9" s="302" t="n"/>
      <c r="AB9" s="302" t="n"/>
      <c r="AC9" s="302" t="n"/>
      <c r="AD9" s="302" t="n"/>
      <c r="AE9" s="302" t="n"/>
      <c r="AF9" s="302" t="n"/>
      <c r="AG9" s="302" t="n"/>
      <c r="AH9" s="302" t="n"/>
      <c r="AI9" s="302" t="n"/>
    </row>
    <row r="10" ht="30.75" customHeight="1">
      <c r="A10" s="302" t="n"/>
      <c r="B10" s="1106" t="n"/>
      <c r="G10" s="1107" t="n"/>
      <c r="H10" s="302" t="n"/>
      <c r="I10" s="243" t="n"/>
      <c r="J10" s="244" t="inlineStr">
        <is>
          <t>These cells auto-calculate - you don't need to edit these.</t>
        </is>
      </c>
      <c r="K10" s="310" t="n"/>
      <c r="L10" s="310" t="n"/>
      <c r="M10" s="302" t="n"/>
      <c r="N10" s="302" t="n"/>
      <c r="O10" s="302" t="n"/>
      <c r="P10" s="302" t="n"/>
      <c r="Q10" s="302" t="n"/>
      <c r="R10" s="302" t="n"/>
      <c r="S10" s="302" t="n"/>
      <c r="T10" s="302" t="n"/>
      <c r="U10" s="302" t="n"/>
      <c r="V10" s="302" t="n"/>
      <c r="W10" s="302" t="n"/>
      <c r="X10" s="302" t="n"/>
      <c r="Y10" s="302" t="n"/>
      <c r="Z10" s="302" t="n"/>
      <c r="AA10" s="302" t="n"/>
      <c r="AB10" s="302" t="n"/>
      <c r="AC10" s="302" t="n"/>
      <c r="AD10" s="302" t="n"/>
      <c r="AE10" s="302" t="n"/>
      <c r="AF10" s="302" t="n"/>
      <c r="AG10" s="302" t="n"/>
      <c r="AH10" s="302" t="n"/>
      <c r="AI10" s="302" t="n"/>
    </row>
    <row r="11" ht="30" customHeight="1">
      <c r="A11" s="302" t="n"/>
      <c r="B11" s="1106" t="n"/>
      <c r="G11" s="1107" t="n"/>
      <c r="H11" s="302" t="n"/>
      <c r="I11" s="245" t="n"/>
      <c r="J11" s="244" t="inlineStr">
        <is>
          <t>Insert your own text/numbers into these cells as relevant.</t>
        </is>
      </c>
      <c r="K11" s="310" t="n"/>
      <c r="L11" s="310" t="n"/>
      <c r="M11" s="302" t="n"/>
      <c r="N11" s="302" t="n"/>
      <c r="O11" s="302" t="n"/>
      <c r="P11" s="302" t="n"/>
      <c r="Q11" s="302" t="n"/>
      <c r="R11" s="302" t="n"/>
      <c r="S11" s="302" t="n"/>
      <c r="T11" s="302" t="n"/>
      <c r="U11" s="302" t="n"/>
      <c r="V11" s="302" t="n"/>
      <c r="W11" s="302" t="n"/>
      <c r="X11" s="302" t="n"/>
      <c r="Y11" s="302" t="n"/>
      <c r="Z11" s="302" t="n"/>
      <c r="AA11" s="302" t="n"/>
      <c r="AB11" s="302" t="n"/>
      <c r="AC11" s="302" t="n"/>
      <c r="AD11" s="302" t="n"/>
      <c r="AE11" s="302" t="n"/>
      <c r="AF11" s="302" t="n"/>
      <c r="AG11" s="302" t="n"/>
      <c r="AH11" s="302" t="n"/>
      <c r="AI11" s="302" t="n"/>
    </row>
    <row r="12" ht="30" customHeight="1">
      <c r="A12" s="302" t="n"/>
      <c r="B12" s="1106" t="n"/>
      <c r="G12" s="1107" t="n"/>
      <c r="H12" s="302" t="n"/>
      <c r="I12" s="246" t="n"/>
      <c r="J12" s="247" t="n"/>
      <c r="K12" s="310" t="n"/>
      <c r="L12" s="310" t="n"/>
      <c r="M12" s="302" t="n"/>
      <c r="N12" s="302" t="n"/>
      <c r="O12" s="302" t="n"/>
      <c r="P12" s="302" t="n"/>
      <c r="Q12" s="302" t="n"/>
      <c r="R12" s="302" t="n"/>
      <c r="S12" s="302" t="n"/>
      <c r="T12" s="302" t="n"/>
      <c r="U12" s="302" t="n"/>
      <c r="V12" s="302" t="n"/>
      <c r="W12" s="302" t="n"/>
      <c r="X12" s="302" t="n"/>
      <c r="Y12" s="302" t="n"/>
      <c r="Z12" s="302" t="n"/>
      <c r="AA12" s="302" t="n"/>
      <c r="AB12" s="302" t="n"/>
      <c r="AC12" s="302" t="n"/>
      <c r="AD12" s="302" t="n"/>
      <c r="AE12" s="302" t="n"/>
      <c r="AF12" s="302" t="n"/>
      <c r="AG12" s="302" t="n"/>
      <c r="AH12" s="302" t="n"/>
      <c r="AI12" s="302" t="n"/>
    </row>
    <row r="13" ht="41.25" customHeight="1" thickBot="1">
      <c r="A13" s="302" t="n"/>
      <c r="B13" s="1108" t="n"/>
      <c r="C13" s="1109" t="n"/>
      <c r="D13" s="1109" t="n"/>
      <c r="E13" s="1109" t="n"/>
      <c r="F13" s="1109" t="n"/>
      <c r="G13" s="1110" t="n"/>
      <c r="H13" s="302" t="n"/>
      <c r="I13" s="246" t="n"/>
      <c r="J13" s="247" t="n"/>
      <c r="K13" s="310" t="n"/>
      <c r="L13" s="310" t="n"/>
      <c r="M13" s="302" t="n"/>
      <c r="N13" s="302" t="n"/>
      <c r="O13" s="302" t="n"/>
      <c r="P13" s="302" t="n"/>
      <c r="Q13" s="302" t="n"/>
      <c r="R13" s="302" t="n"/>
      <c r="S13" s="302" t="n"/>
      <c r="T13" s="302" t="n"/>
      <c r="U13" s="302" t="n"/>
      <c r="V13" s="302" t="n"/>
      <c r="W13" s="302" t="n"/>
      <c r="X13" s="302" t="n"/>
      <c r="Y13" s="302" t="n"/>
      <c r="Z13" s="302" t="n"/>
      <c r="AA13" s="302" t="n"/>
      <c r="AB13" s="302" t="n"/>
      <c r="AC13" s="302" t="n"/>
      <c r="AD13" s="302" t="n"/>
      <c r="AE13" s="302" t="n"/>
      <c r="AF13" s="302" t="n"/>
      <c r="AG13" s="302" t="n"/>
      <c r="AH13" s="302" t="n"/>
      <c r="AI13" s="302" t="n"/>
    </row>
    <row r="14" ht="23.5" customHeight="1" thickBot="1">
      <c r="A14" s="308" t="n"/>
      <c r="B14" s="315" t="n"/>
      <c r="C14" s="315" t="n"/>
      <c r="D14" s="315" t="n"/>
      <c r="E14" s="315" t="n"/>
      <c r="F14" s="315" t="n"/>
      <c r="G14" s="309" t="n"/>
      <c r="H14" s="316" t="n"/>
      <c r="I14" s="316" t="n"/>
      <c r="J14" s="309" t="n"/>
      <c r="K14" s="310" t="n"/>
      <c r="L14" s="310" t="n"/>
      <c r="M14" s="302" t="n"/>
      <c r="N14" s="302" t="n"/>
      <c r="O14" s="302" t="n"/>
      <c r="P14" s="302" t="n"/>
      <c r="Q14" s="302" t="n"/>
      <c r="R14" s="302" t="n"/>
      <c r="S14" s="302" t="n"/>
      <c r="T14" s="302" t="n"/>
      <c r="U14" s="302" t="n"/>
      <c r="V14" s="302" t="n"/>
      <c r="W14" s="302" t="n"/>
      <c r="X14" s="302" t="n"/>
      <c r="Y14" s="302" t="n"/>
      <c r="Z14" s="302" t="n"/>
      <c r="AA14" s="302" t="n"/>
      <c r="AB14" s="302" t="n"/>
      <c r="AC14" s="302" t="n"/>
      <c r="AD14" s="302" t="n"/>
      <c r="AE14" s="302" t="n"/>
      <c r="AF14" s="302" t="n"/>
      <c r="AG14" s="302" t="n"/>
      <c r="AH14" s="302" t="n"/>
      <c r="AI14" s="302" t="n"/>
    </row>
    <row r="15" ht="23.5" customFormat="1" customHeight="1" s="240" thickBot="1" thickTop="1">
      <c r="A15" s="302" t="n"/>
      <c r="B15" s="308" t="n"/>
      <c r="C15" s="311" t="n"/>
      <c r="D15" s="311" t="n"/>
      <c r="E15" s="311" t="n"/>
      <c r="F15" s="311" t="n"/>
      <c r="G15" s="311" t="n"/>
      <c r="H15" s="311" t="n"/>
      <c r="I15" s="311" t="n"/>
      <c r="J15" s="302" t="n"/>
      <c r="K15" s="310" t="n"/>
      <c r="L15" s="310" t="n"/>
      <c r="M15" s="302" t="n"/>
      <c r="N15" s="302" t="n"/>
      <c r="O15" s="302" t="n"/>
      <c r="P15" s="302" t="n"/>
      <c r="Q15" s="302" t="n"/>
      <c r="R15" s="302" t="n"/>
      <c r="S15" s="302" t="n"/>
      <c r="T15" s="302" t="n"/>
      <c r="U15" s="302" t="n"/>
      <c r="V15" s="302" t="n"/>
      <c r="W15" s="302" t="n"/>
      <c r="X15" s="302" t="n"/>
      <c r="Y15" s="302" t="n"/>
      <c r="Z15" s="302" t="n"/>
      <c r="AA15" s="302" t="n"/>
      <c r="AB15" s="302" t="n"/>
      <c r="AC15" s="302" t="n"/>
      <c r="AD15" s="302" t="n"/>
      <c r="AE15" s="302" t="n"/>
      <c r="AF15" s="302" t="n"/>
      <c r="AG15" s="302" t="n"/>
      <c r="AH15" s="302" t="n"/>
      <c r="AI15" s="302" t="n"/>
    </row>
    <row r="16" ht="23.5" customFormat="1" customHeight="1" s="240" thickBot="1">
      <c r="A16" s="302" t="n"/>
      <c r="B16" s="894" t="inlineStr">
        <is>
          <t>Select your starting month:</t>
        </is>
      </c>
      <c r="C16" s="1077" t="n"/>
      <c r="D16" s="267" t="inlineStr">
        <is>
          <t>June</t>
        </is>
      </c>
      <c r="E16" s="302" t="n"/>
      <c r="F16" s="302" t="n"/>
      <c r="G16" s="302" t="n"/>
      <c r="H16" s="302" t="n"/>
      <c r="I16" s="302" t="n"/>
      <c r="J16" s="302" t="n"/>
      <c r="K16" s="310" t="n"/>
      <c r="L16" s="310" t="n"/>
      <c r="M16" s="302" t="n"/>
      <c r="N16" s="302" t="n"/>
      <c r="O16" s="302" t="n"/>
      <c r="P16" s="302" t="n"/>
      <c r="Q16" s="302" t="n"/>
      <c r="R16" s="302" t="n"/>
      <c r="S16" s="302" t="n"/>
      <c r="T16" s="302" t="n"/>
      <c r="U16" s="302" t="n"/>
      <c r="V16" s="302" t="n"/>
      <c r="W16" s="302" t="n"/>
      <c r="X16" s="302" t="n"/>
      <c r="Y16" s="302" t="n"/>
      <c r="Z16" s="302" t="n"/>
      <c r="AA16" s="302" t="n"/>
      <c r="AB16" s="302" t="n"/>
      <c r="AC16" s="302" t="n"/>
      <c r="AD16" s="302" t="n"/>
      <c r="AE16" s="302" t="n"/>
      <c r="AF16" s="302" t="n"/>
      <c r="AG16" s="302" t="n"/>
      <c r="AH16" s="302" t="n"/>
      <c r="AI16" s="302" t="n"/>
    </row>
    <row r="17" ht="23.5" customFormat="1" customHeight="1" s="240">
      <c r="A17" s="302" t="n"/>
      <c r="B17" s="302" t="n"/>
      <c r="C17" s="302" t="n"/>
      <c r="D17" s="302" t="n"/>
      <c r="E17" s="302" t="n"/>
      <c r="F17" s="302" t="n"/>
      <c r="G17" s="302" t="n"/>
      <c r="H17" s="302" t="n"/>
      <c r="I17" s="302" t="n"/>
      <c r="J17" s="302" t="n"/>
      <c r="K17" s="310" t="n"/>
      <c r="L17" s="310" t="n"/>
      <c r="M17" s="302" t="n"/>
      <c r="N17" s="302" t="n"/>
      <c r="O17" s="302" t="n"/>
      <c r="P17" s="302" t="n"/>
      <c r="Q17" s="302" t="n"/>
      <c r="R17" s="302" t="n"/>
      <c r="S17" s="302" t="n"/>
      <c r="T17" s="302" t="n"/>
      <c r="U17" s="302" t="n"/>
      <c r="V17" s="302" t="n"/>
      <c r="W17" s="302" t="n"/>
      <c r="X17" s="302" t="n"/>
      <c r="Y17" s="302" t="n"/>
      <c r="Z17" s="302" t="n"/>
      <c r="AA17" s="302" t="n"/>
      <c r="AB17" s="302" t="n"/>
      <c r="AC17" s="302" t="n"/>
      <c r="AD17" s="302" t="n"/>
      <c r="AE17" s="302" t="n"/>
      <c r="AF17" s="302" t="n"/>
      <c r="AG17" s="302" t="n"/>
      <c r="AH17" s="302" t="n"/>
      <c r="AI17" s="302" t="n"/>
    </row>
    <row r="18" ht="23.5" customFormat="1" customHeight="1" s="240">
      <c r="A18" s="302" t="n"/>
      <c r="B18" s="248" t="inlineStr">
        <is>
          <t>1. Product breakdown</t>
        </is>
      </c>
      <c r="C18" s="302" t="n"/>
      <c r="D18" s="302" t="n"/>
      <c r="E18" s="302" t="n"/>
      <c r="F18" s="302" t="n"/>
      <c r="G18" s="302" t="n"/>
      <c r="H18" s="302" t="n"/>
      <c r="I18" s="302" t="n"/>
      <c r="J18" s="302" t="n"/>
      <c r="K18" s="310" t="n"/>
      <c r="L18" s="310" t="n"/>
      <c r="M18" s="302" t="n"/>
      <c r="N18" s="302" t="n"/>
      <c r="O18" s="302" t="n"/>
      <c r="P18" s="302" t="n"/>
      <c r="Q18" s="302" t="n"/>
      <c r="R18" s="302" t="n"/>
      <c r="S18" s="302" t="n"/>
      <c r="T18" s="302" t="n"/>
      <c r="U18" s="302" t="n"/>
      <c r="V18" s="302" t="n"/>
      <c r="W18" s="302" t="n"/>
      <c r="X18" s="302" t="n"/>
      <c r="Y18" s="302" t="n"/>
      <c r="Z18" s="302" t="n"/>
      <c r="AA18" s="302" t="n"/>
      <c r="AB18" s="302" t="n"/>
      <c r="AC18" s="302" t="n"/>
      <c r="AD18" s="302" t="n"/>
      <c r="AE18" s="302" t="n"/>
      <c r="AF18" s="302" t="n"/>
      <c r="AG18" s="302" t="n"/>
      <c r="AH18" s="302" t="n"/>
      <c r="AI18" s="302" t="n"/>
    </row>
    <row r="19" ht="11.25" customFormat="1" customHeight="1" s="240" thickBot="1">
      <c r="A19" s="302" t="n"/>
      <c r="B19" s="249" t="n"/>
      <c r="C19" s="302" t="n"/>
      <c r="D19" s="302" t="n"/>
      <c r="E19" s="302" t="n"/>
      <c r="F19" s="302" t="n"/>
      <c r="G19" s="302" t="n"/>
      <c r="H19" s="302" t="n"/>
      <c r="I19" s="302" t="n"/>
      <c r="J19" s="302" t="n"/>
      <c r="K19" s="310" t="n"/>
      <c r="L19" s="310" t="n"/>
      <c r="M19" s="302" t="n"/>
      <c r="N19" s="302" t="n"/>
      <c r="O19" s="302" t="n"/>
      <c r="P19" s="302" t="n"/>
      <c r="Q19" s="302" t="n"/>
      <c r="R19" s="302" t="n"/>
      <c r="S19" s="302" t="n"/>
      <c r="T19" s="302" t="n"/>
      <c r="U19" s="302" t="n"/>
      <c r="V19" s="302" t="n"/>
      <c r="W19" s="302" t="n"/>
      <c r="X19" s="302" t="n"/>
      <c r="Y19" s="302" t="n"/>
      <c r="Z19" s="302" t="n"/>
      <c r="AA19" s="302" t="n"/>
      <c r="AB19" s="302" t="n"/>
      <c r="AC19" s="302" t="n"/>
      <c r="AD19" s="302" t="n"/>
      <c r="AE19" s="302" t="n"/>
      <c r="AF19" s="302" t="n"/>
      <c r="AG19" s="302" t="n"/>
      <c r="AH19" s="302" t="n"/>
      <c r="AI19" s="302" t="n"/>
    </row>
    <row r="20">
      <c r="A20" s="302" t="n"/>
      <c r="B20" s="250" t="n"/>
      <c r="C20" s="251" t="inlineStr">
        <is>
          <t>Product / Service 1</t>
        </is>
      </c>
      <c r="D20" s="251" t="inlineStr">
        <is>
          <t>Product / Service 2</t>
        </is>
      </c>
      <c r="E20" s="251" t="inlineStr">
        <is>
          <t>Product / Service 3</t>
        </is>
      </c>
      <c r="F20" s="252" t="inlineStr">
        <is>
          <t>Product / Service 4</t>
        </is>
      </c>
      <c r="G20" s="302" t="n"/>
      <c r="H20" s="302" t="n"/>
      <c r="I20" s="302" t="n"/>
      <c r="J20" s="224" t="inlineStr">
        <is>
          <t>Worked Example</t>
        </is>
      </c>
      <c r="K20" s="310" t="n"/>
      <c r="L20" s="310" t="n"/>
      <c r="M20" s="302" t="n"/>
      <c r="N20" s="302" t="n"/>
      <c r="O20" s="302" t="n"/>
      <c r="P20" s="302" t="n"/>
      <c r="Q20" s="302" t="n"/>
      <c r="R20" s="302" t="n"/>
      <c r="S20" s="302" t="n"/>
      <c r="T20" s="302" t="n"/>
      <c r="U20" s="302" t="n"/>
      <c r="V20" s="302" t="n"/>
      <c r="W20" s="302" t="n"/>
      <c r="X20" s="302" t="n"/>
      <c r="Y20" s="302" t="n"/>
      <c r="Z20" s="302" t="n"/>
      <c r="AA20" s="302" t="n"/>
      <c r="AB20" s="302" t="n"/>
      <c r="AC20" s="302" t="n"/>
      <c r="AD20" s="302" t="n"/>
      <c r="AE20" s="302" t="n"/>
      <c r="AF20" s="302" t="n"/>
      <c r="AG20" s="302" t="n"/>
      <c r="AH20" s="302" t="n"/>
      <c r="AI20" s="302" t="n"/>
    </row>
    <row r="21">
      <c r="A21" s="302" t="n"/>
      <c r="B21" s="253" t="inlineStr">
        <is>
          <t>Product / Service name</t>
        </is>
      </c>
      <c r="C21" s="32" t="inlineStr">
        <is>
          <t>GROUND Kit (first purchase)</t>
        </is>
      </c>
      <c r="D21" s="32" t="inlineStr">
        <is>
          <t>RITUAL Kit (first purchase)</t>
        </is>
      </c>
      <c r="E21" s="32" t="inlineStr">
        <is>
          <t>Monthly Sub — GROUND</t>
        </is>
      </c>
      <c r="F21" s="139" t="inlineStr">
        <is>
          <t>Monthly Sub — RITUAL</t>
        </is>
      </c>
      <c r="G21" s="302" t="n"/>
      <c r="H21" s="302" t="n"/>
      <c r="I21" s="302" t="n"/>
      <c r="J21" s="217" t="inlineStr">
        <is>
          <t>T-Shirts</t>
        </is>
      </c>
      <c r="K21" s="310" t="n"/>
      <c r="L21" s="310" t="n"/>
      <c r="M21" s="302" t="n"/>
      <c r="N21" s="302" t="n"/>
      <c r="O21" s="302" t="n"/>
      <c r="P21" s="302" t="n"/>
      <c r="Q21" s="302" t="n"/>
      <c r="R21" s="302" t="n"/>
      <c r="S21" s="302" t="n"/>
      <c r="T21" s="302" t="n"/>
      <c r="U21" s="302" t="n"/>
      <c r="V21" s="302" t="n"/>
      <c r="W21" s="302" t="n"/>
      <c r="X21" s="302" t="n"/>
      <c r="Y21" s="302" t="n"/>
      <c r="Z21" s="302" t="n"/>
      <c r="AA21" s="302" t="n"/>
      <c r="AB21" s="302" t="n"/>
      <c r="AC21" s="302" t="n"/>
      <c r="AD21" s="302" t="n"/>
      <c r="AE21" s="302" t="n"/>
      <c r="AF21" s="302" t="n"/>
      <c r="AG21" s="302" t="n"/>
      <c r="AH21" s="302" t="n"/>
      <c r="AI21" s="302" t="n"/>
    </row>
    <row r="22">
      <c r="A22" s="302" t="n"/>
      <c r="B22" s="254" t="inlineStr">
        <is>
          <t>Sale price (per unit)</t>
        </is>
      </c>
      <c r="C22" s="1111" t="n">
        <v>65</v>
      </c>
      <c r="D22" s="1111" t="n">
        <v>85</v>
      </c>
      <c r="E22" s="1111" t="n">
        <v>38</v>
      </c>
      <c r="F22" s="1111" t="n">
        <v>48</v>
      </c>
      <c r="G22" s="302" t="n"/>
      <c r="H22" s="302" t="n"/>
      <c r="I22" s="302" t="n"/>
      <c r="J22" s="1112" t="n">
        <v>25</v>
      </c>
      <c r="K22" s="310" t="n"/>
      <c r="L22" s="310" t="n"/>
      <c r="M22" s="302" t="n"/>
      <c r="N22" s="302" t="n"/>
      <c r="O22" s="302" t="n"/>
      <c r="P22" s="302" t="n"/>
      <c r="Q22" s="302" t="n"/>
      <c r="R22" s="302" t="n"/>
      <c r="S22" s="302" t="n"/>
      <c r="T22" s="302" t="n"/>
      <c r="U22" s="302" t="n"/>
      <c r="V22" s="302" t="n"/>
      <c r="W22" s="302" t="n"/>
      <c r="X22" s="302" t="n"/>
      <c r="Y22" s="302" t="n"/>
      <c r="Z22" s="302" t="n"/>
      <c r="AA22" s="302" t="n"/>
      <c r="AB22" s="302" t="n"/>
      <c r="AC22" s="302" t="n"/>
      <c r="AD22" s="302" t="n"/>
      <c r="AE22" s="302" t="n"/>
      <c r="AF22" s="302" t="n"/>
      <c r="AG22" s="302" t="n"/>
      <c r="AH22" s="302" t="n"/>
      <c r="AI22" s="302" t="n"/>
    </row>
    <row r="23">
      <c r="A23" s="302" t="n"/>
      <c r="B23" s="254" t="inlineStr">
        <is>
          <t>Cost price (per unit)</t>
        </is>
      </c>
      <c r="C23" s="1111" t="n">
        <v>20.2</v>
      </c>
      <c r="D23" s="1111" t="n">
        <v>25.4</v>
      </c>
      <c r="E23" s="1111" t="n">
        <v>19.8</v>
      </c>
      <c r="F23" s="1111" t="n">
        <v>17.3</v>
      </c>
      <c r="G23" s="302" t="n"/>
      <c r="H23" s="302" t="n"/>
      <c r="I23" s="302" t="n"/>
      <c r="J23" s="1112" t="n">
        <v>12</v>
      </c>
      <c r="K23" s="310" t="n"/>
      <c r="L23" s="310" t="n"/>
      <c r="M23" s="302" t="n"/>
      <c r="N23" s="302" t="n"/>
      <c r="O23" s="302" t="n"/>
      <c r="P23" s="302" t="n"/>
      <c r="Q23" s="302" t="n"/>
      <c r="R23" s="302" t="n"/>
      <c r="S23" s="302" t="n"/>
      <c r="T23" s="302" t="n"/>
      <c r="U23" s="302" t="n"/>
      <c r="V23" s="302" t="n"/>
      <c r="W23" s="302" t="n"/>
      <c r="X23" s="302" t="n"/>
      <c r="Y23" s="302" t="n"/>
      <c r="Z23" s="302" t="n"/>
      <c r="AA23" s="302" t="n"/>
      <c r="AB23" s="302" t="n"/>
      <c r="AC23" s="302" t="n"/>
      <c r="AD23" s="302" t="n"/>
      <c r="AE23" s="302" t="n"/>
      <c r="AF23" s="302" t="n"/>
      <c r="AG23" s="302" t="n"/>
      <c r="AH23" s="302" t="n"/>
      <c r="AI23" s="302" t="n"/>
    </row>
    <row r="24" ht="14.5" customHeight="1" thickBot="1">
      <c r="A24" s="302" t="n"/>
      <c r="B24" s="255" t="inlineStr">
        <is>
          <t>Gross Margin (per unit)</t>
        </is>
      </c>
      <c r="C24" s="140">
        <f>IFERROR(SUM(C22-C23)/C22,"")</f>
        <v/>
      </c>
      <c r="D24" s="140">
        <f>IFERROR(SUM(D22-D23)/D22,"")</f>
        <v/>
      </c>
      <c r="E24" s="140">
        <f>IFERROR(SUM(E22-E23)/E22,"")</f>
        <v/>
      </c>
      <c r="F24" s="140">
        <f>IFERROR(SUM(F22-F23)/F22,"")</f>
        <v/>
      </c>
      <c r="G24" s="302" t="n"/>
      <c r="H24" s="302" t="n"/>
      <c r="I24" s="302" t="n"/>
      <c r="J24" s="219">
        <f>SUM(J22-J23)/J23</f>
        <v/>
      </c>
      <c r="K24" s="310" t="n"/>
      <c r="L24" s="310" t="n"/>
      <c r="M24" s="302" t="n"/>
      <c r="N24" s="302" t="n"/>
      <c r="O24" s="302" t="n"/>
      <c r="P24" s="302" t="n"/>
      <c r="Q24" s="302" t="n"/>
      <c r="R24" s="302" t="n"/>
      <c r="S24" s="302" t="n"/>
      <c r="T24" s="302" t="n"/>
      <c r="U24" s="302" t="n"/>
      <c r="V24" s="302" t="n"/>
      <c r="W24" s="302" t="n"/>
      <c r="X24" s="302" t="n"/>
      <c r="Y24" s="302" t="n"/>
      <c r="Z24" s="302" t="n"/>
      <c r="AA24" s="302" t="n"/>
      <c r="AB24" s="302" t="n"/>
      <c r="AC24" s="302" t="n"/>
      <c r="AD24" s="302" t="n"/>
      <c r="AE24" s="302" t="n"/>
      <c r="AF24" s="302" t="n"/>
      <c r="AG24" s="302" t="n"/>
      <c r="AH24" s="302" t="n"/>
      <c r="AI24" s="302" t="n"/>
    </row>
    <row r="25" ht="18.75" customFormat="1" customHeight="1" s="240">
      <c r="A25" s="302" t="n"/>
      <c r="B25" s="256" t="n"/>
      <c r="C25" s="1113" t="n"/>
      <c r="D25" s="1113" t="n"/>
      <c r="E25" s="1113" t="n"/>
      <c r="F25" s="1113" t="n"/>
      <c r="G25" s="302" t="n"/>
      <c r="H25" s="302" t="n"/>
      <c r="I25" s="302" t="n"/>
      <c r="J25" s="302" t="n"/>
      <c r="K25" s="310" t="n"/>
      <c r="L25" s="310" t="n"/>
      <c r="M25" s="302" t="n"/>
      <c r="N25" s="302" t="n"/>
      <c r="O25" s="302" t="n"/>
      <c r="P25" s="302" t="n"/>
      <c r="Q25" s="302" t="n"/>
      <c r="R25" s="302" t="n"/>
      <c r="S25" s="302" t="n"/>
      <c r="T25" s="302" t="n"/>
      <c r="U25" s="302" t="n"/>
      <c r="V25" s="302" t="n"/>
      <c r="W25" s="302" t="n"/>
      <c r="X25" s="302" t="n"/>
      <c r="Y25" s="302" t="n"/>
      <c r="Z25" s="302" t="n"/>
      <c r="AA25" s="302" t="n"/>
      <c r="AB25" s="302" t="n"/>
      <c r="AC25" s="302" t="n"/>
      <c r="AD25" s="302" t="n"/>
      <c r="AE25" s="302" t="n"/>
      <c r="AF25" s="302" t="n"/>
      <c r="AG25" s="302" t="n"/>
      <c r="AH25" s="302" t="n"/>
      <c r="AI25" s="302" t="n"/>
    </row>
    <row r="26" ht="18.75" customFormat="1" customHeight="1" s="240">
      <c r="A26" s="302" t="n"/>
      <c r="B26" s="248" t="inlineStr">
        <is>
          <t>2. Number of sales per month</t>
        </is>
      </c>
      <c r="C26" s="302" t="n"/>
      <c r="D26" s="302" t="n"/>
      <c r="E26" s="302" t="n"/>
      <c r="F26" s="302" t="n"/>
      <c r="G26" s="302" t="n"/>
      <c r="H26" s="302" t="n"/>
      <c r="I26" s="302" t="n"/>
      <c r="J26" s="302" t="n"/>
      <c r="K26" s="310" t="n"/>
      <c r="L26" s="310" t="n"/>
      <c r="M26" s="302" t="n"/>
      <c r="N26" s="302" t="n"/>
      <c r="O26" s="302" t="n"/>
      <c r="P26" s="302" t="n"/>
      <c r="Q26" s="302" t="n"/>
      <c r="R26" s="302" t="n"/>
      <c r="S26" s="302" t="n"/>
      <c r="T26" s="302" t="n"/>
      <c r="U26" s="302" t="n"/>
      <c r="V26" s="302" t="n"/>
      <c r="W26" s="302" t="n"/>
      <c r="X26" s="302" t="n"/>
      <c r="Y26" s="302" t="n"/>
      <c r="Z26" s="302" t="n"/>
      <c r="AA26" s="302" t="n"/>
      <c r="AB26" s="302" t="n"/>
      <c r="AC26" s="302" t="n"/>
      <c r="AD26" s="302" t="n"/>
      <c r="AE26" s="302" t="n"/>
      <c r="AF26" s="302" t="n"/>
      <c r="AG26" s="302" t="n"/>
      <c r="AH26" s="302" t="n"/>
      <c r="AI26" s="302" t="n"/>
    </row>
    <row r="27" ht="18.75" customFormat="1" customHeight="1" s="240">
      <c r="A27" s="302" t="n"/>
      <c r="B27" s="258" t="inlineStr">
        <is>
          <t>*Average sales volumes per day based on 30-days per month.</t>
        </is>
      </c>
      <c r="C27" s="302" t="n"/>
      <c r="D27" s="302" t="n"/>
      <c r="E27" s="302" t="n"/>
      <c r="F27" s="302" t="n"/>
      <c r="G27" s="302" t="n"/>
      <c r="H27" s="302" t="n"/>
      <c r="I27" s="302" t="n"/>
      <c r="J27" s="302" t="n"/>
      <c r="K27" s="310" t="n"/>
      <c r="L27" s="310" t="n"/>
      <c r="M27" s="302" t="n"/>
      <c r="N27" s="302" t="n"/>
      <c r="O27" s="302" t="n"/>
      <c r="P27" s="302" t="n"/>
      <c r="Q27" s="302" t="n"/>
      <c r="R27" s="302" t="n"/>
      <c r="S27" s="302" t="n"/>
      <c r="T27" s="302" t="n"/>
      <c r="U27" s="302" t="n"/>
      <c r="V27" s="302" t="n"/>
      <c r="W27" s="302" t="n"/>
      <c r="X27" s="302" t="n"/>
      <c r="Y27" s="302" t="n"/>
      <c r="Z27" s="302" t="n"/>
      <c r="AA27" s="302" t="n"/>
      <c r="AB27" s="302" t="n"/>
      <c r="AC27" s="302" t="n"/>
      <c r="AD27" s="302" t="n"/>
      <c r="AE27" s="302" t="n"/>
      <c r="AF27" s="302" t="n"/>
      <c r="AG27" s="302" t="n"/>
      <c r="AH27" s="302" t="n"/>
      <c r="AI27" s="302" t="n"/>
    </row>
    <row r="28" ht="11.25" customFormat="1" customHeight="1" s="240" thickBot="1">
      <c r="A28" s="302" t="n"/>
      <c r="B28" s="249" t="n"/>
      <c r="C28" s="302" t="n"/>
      <c r="D28" s="302" t="n"/>
      <c r="E28" s="302" t="n"/>
      <c r="F28" s="302" t="n"/>
      <c r="G28" s="302" t="n"/>
      <c r="H28" s="302" t="n"/>
      <c r="I28" s="302" t="n"/>
      <c r="J28" s="302" t="n"/>
      <c r="K28" s="310" t="n"/>
      <c r="L28" s="310" t="n"/>
      <c r="M28" s="302" t="n"/>
      <c r="N28" s="302" t="n"/>
      <c r="O28" s="302" t="n"/>
      <c r="P28" s="302" t="n"/>
      <c r="Q28" s="302" t="n"/>
      <c r="R28" s="302" t="n"/>
      <c r="S28" s="302" t="n"/>
      <c r="T28" s="302" t="n"/>
      <c r="U28" s="302" t="n"/>
      <c r="V28" s="302" t="n"/>
      <c r="W28" s="302" t="n"/>
      <c r="X28" s="302" t="n"/>
      <c r="Y28" s="302" t="n"/>
      <c r="Z28" s="302" t="n"/>
      <c r="AA28" s="302" t="n"/>
      <c r="AB28" s="302" t="n"/>
      <c r="AC28" s="302" t="n"/>
      <c r="AD28" s="302" t="n"/>
      <c r="AE28" s="302" t="n"/>
      <c r="AF28" s="302" t="n"/>
      <c r="AG28" s="302" t="n"/>
      <c r="AH28" s="302" t="n"/>
      <c r="AI28" s="302" t="n"/>
    </row>
    <row r="29" ht="28" customFormat="1" customHeight="1" s="260">
      <c r="A29" s="259" t="n"/>
      <c r="B29" s="141" t="inlineStr">
        <is>
          <t>Month</t>
        </is>
      </c>
      <c r="C29" s="142" t="inlineStr">
        <is>
          <t>Product / Service 1</t>
        </is>
      </c>
      <c r="D29" s="142" t="inlineStr">
        <is>
          <t>Product / Service 2</t>
        </is>
      </c>
      <c r="E29" s="142" t="inlineStr">
        <is>
          <t>Product / Service 3</t>
        </is>
      </c>
      <c r="F29" s="143" t="inlineStr">
        <is>
          <t>Product / Service 4</t>
        </is>
      </c>
      <c r="G29" s="149" t="inlineStr">
        <is>
          <t>Total sales volumes 
per month</t>
        </is>
      </c>
      <c r="H29" s="149" t="inlineStr">
        <is>
          <t>Average sales volumes
per day*</t>
        </is>
      </c>
      <c r="I29" s="259" t="n"/>
      <c r="J29" s="222" t="inlineStr">
        <is>
          <t>Worked Example</t>
        </is>
      </c>
      <c r="K29" s="317" t="n"/>
      <c r="L29" s="317" t="n"/>
      <c r="M29" s="317" t="n"/>
      <c r="N29" s="317" t="n"/>
      <c r="O29" s="259" t="n"/>
      <c r="P29" s="259" t="n"/>
      <c r="Q29" s="259" t="n"/>
      <c r="R29" s="259" t="n"/>
      <c r="S29" s="259" t="n"/>
      <c r="T29" s="259" t="n"/>
      <c r="U29" s="259" t="n"/>
      <c r="V29" s="259" t="n"/>
      <c r="W29" s="259" t="n"/>
      <c r="X29" s="259" t="n"/>
      <c r="Y29" s="259" t="n"/>
      <c r="Z29" s="259" t="n"/>
      <c r="AA29" s="259" t="n"/>
      <c r="AB29" s="259" t="n"/>
      <c r="AC29" s="259" t="n"/>
      <c r="AD29" s="259" t="n"/>
      <c r="AE29" s="259" t="n"/>
      <c r="AF29" s="259" t="n"/>
      <c r="AG29" s="259" t="n"/>
      <c r="AH29" s="259" t="n"/>
      <c r="AI29" s="259" t="n"/>
    </row>
    <row r="30">
      <c r="A30" s="302" t="n"/>
      <c r="B30" s="144" t="n">
        <v>1</v>
      </c>
      <c r="C30" s="86" t="n">
        <v>15</v>
      </c>
      <c r="D30" s="86" t="n">
        <v>10</v>
      </c>
      <c r="E30" s="86" t="n">
        <v>0</v>
      </c>
      <c r="F30" s="86" t="n">
        <v>0</v>
      </c>
      <c r="G30" s="334">
        <f>SUM(C30:F30)</f>
        <v/>
      </c>
      <c r="H30" s="263">
        <f>SUM(G30/30)</f>
        <v/>
      </c>
      <c r="I30" s="302" t="n"/>
      <c r="J30" s="220" t="n">
        <v>30</v>
      </c>
      <c r="K30" s="302" t="n"/>
      <c r="L30" s="302" t="n"/>
      <c r="M30" s="302" t="n"/>
      <c r="N30" s="302" t="n"/>
      <c r="O30" s="302" t="n"/>
      <c r="P30" s="302" t="n"/>
      <c r="Q30" s="302" t="n"/>
      <c r="R30" s="302" t="n"/>
      <c r="S30" s="302" t="n"/>
      <c r="T30" s="302" t="n"/>
      <c r="U30" s="302" t="n"/>
      <c r="V30" s="302" t="n"/>
      <c r="W30" s="302" t="n"/>
      <c r="X30" s="302" t="n"/>
      <c r="Y30" s="302" t="n"/>
      <c r="Z30" s="302" t="n"/>
      <c r="AA30" s="302" t="n"/>
      <c r="AB30" s="302" t="n"/>
      <c r="AC30" s="302" t="n"/>
      <c r="AD30" s="302" t="n"/>
      <c r="AE30" s="302" t="n"/>
      <c r="AF30" s="302" t="n"/>
      <c r="AG30" s="302" t="n"/>
      <c r="AH30" s="302" t="n"/>
      <c r="AI30" s="302" t="n"/>
    </row>
    <row r="31">
      <c r="A31" s="302" t="n"/>
      <c r="B31" s="145" t="n">
        <v>2</v>
      </c>
      <c r="C31" s="86" t="n">
        <v>18</v>
      </c>
      <c r="D31" s="86" t="n">
        <v>12</v>
      </c>
      <c r="E31" s="86" t="n">
        <v>15</v>
      </c>
      <c r="F31" s="86" t="n">
        <v>10</v>
      </c>
      <c r="G31" s="334">
        <f>SUM(C31:F31)</f>
        <v/>
      </c>
      <c r="H31" s="263">
        <f>SUM(G31/30)</f>
        <v/>
      </c>
      <c r="I31" s="302" t="n"/>
      <c r="J31" s="220" t="n">
        <v>28</v>
      </c>
      <c r="K31" s="302" t="n"/>
      <c r="L31" s="302" t="n"/>
      <c r="M31" s="302" t="n"/>
      <c r="N31" s="302" t="n"/>
      <c r="O31" s="302" t="n"/>
      <c r="P31" s="302" t="n"/>
      <c r="Q31" s="302" t="n"/>
      <c r="R31" s="302" t="n"/>
      <c r="S31" s="302" t="n"/>
      <c r="T31" s="302" t="n"/>
      <c r="U31" s="302" t="n"/>
      <c r="V31" s="302" t="n"/>
      <c r="W31" s="302" t="n"/>
      <c r="X31" s="302" t="n"/>
      <c r="Y31" s="302" t="n"/>
      <c r="Z31" s="302" t="n"/>
      <c r="AA31" s="302" t="n"/>
      <c r="AB31" s="302" t="n"/>
      <c r="AC31" s="302" t="n"/>
      <c r="AD31" s="302" t="n"/>
      <c r="AE31" s="302" t="n"/>
      <c r="AF31" s="302" t="n"/>
      <c r="AG31" s="302" t="n"/>
      <c r="AH31" s="302" t="n"/>
      <c r="AI31" s="302" t="n"/>
    </row>
    <row r="32">
      <c r="A32" s="302" t="n"/>
      <c r="B32" s="145" t="n">
        <v>3</v>
      </c>
      <c r="C32" s="86" t="n">
        <v>24</v>
      </c>
      <c r="D32" s="86" t="n">
        <v>16</v>
      </c>
      <c r="E32" s="86" t="n">
        <v>32</v>
      </c>
      <c r="F32" s="86" t="n">
        <v>21</v>
      </c>
      <c r="G32" s="334">
        <f>SUM(C32:F32)</f>
        <v/>
      </c>
      <c r="H32" s="263">
        <f>SUM(G32/30)</f>
        <v/>
      </c>
      <c r="I32" s="302" t="n"/>
      <c r="J32" s="220" t="n">
        <v>30</v>
      </c>
      <c r="K32" s="302" t="n"/>
      <c r="L32" s="302" t="n"/>
      <c r="M32" s="302" t="n"/>
      <c r="N32" s="302" t="n"/>
      <c r="O32" s="302" t="n"/>
      <c r="P32" s="302" t="n"/>
      <c r="Q32" s="302" t="n"/>
      <c r="R32" s="302" t="n"/>
      <c r="S32" s="302" t="n"/>
      <c r="T32" s="302" t="n"/>
      <c r="U32" s="302" t="n"/>
      <c r="V32" s="302" t="n"/>
      <c r="W32" s="302" t="n"/>
      <c r="X32" s="302" t="n"/>
      <c r="Y32" s="302" t="n"/>
      <c r="Z32" s="302" t="n"/>
      <c r="AA32" s="302" t="n"/>
      <c r="AB32" s="302" t="n"/>
      <c r="AC32" s="302" t="n"/>
      <c r="AD32" s="302" t="n"/>
      <c r="AE32" s="302" t="n"/>
      <c r="AF32" s="302" t="n"/>
      <c r="AG32" s="302" t="n"/>
      <c r="AH32" s="302" t="n"/>
      <c r="AI32" s="302" t="n"/>
    </row>
    <row r="33">
      <c r="A33" s="302" t="n"/>
      <c r="B33" s="146" t="n">
        <v>4</v>
      </c>
      <c r="C33" s="86" t="n">
        <v>30</v>
      </c>
      <c r="D33" s="86" t="n">
        <v>20</v>
      </c>
      <c r="E33" s="86" t="n">
        <v>54</v>
      </c>
      <c r="F33" s="86" t="n">
        <v>36</v>
      </c>
      <c r="G33" s="335">
        <f>SUM(C33:F33)</f>
        <v/>
      </c>
      <c r="H33" s="264">
        <f>SUM(G33/30)</f>
        <v/>
      </c>
      <c r="I33" s="302" t="n"/>
      <c r="J33" s="220" t="n">
        <v>45</v>
      </c>
      <c r="K33" s="302" t="n"/>
      <c r="L33" s="302" t="n"/>
      <c r="M33" s="302" t="n"/>
      <c r="N33" s="302" t="n"/>
      <c r="O33" s="302" t="n"/>
      <c r="P33" s="302" t="n"/>
      <c r="Q33" s="302" t="n"/>
      <c r="R33" s="302" t="n"/>
      <c r="S33" s="302" t="n"/>
      <c r="T33" s="302" t="n"/>
      <c r="U33" s="302" t="n"/>
      <c r="V33" s="302" t="n"/>
      <c r="W33" s="302" t="n"/>
      <c r="X33" s="302" t="n"/>
      <c r="Y33" s="302" t="n"/>
      <c r="Z33" s="302" t="n"/>
      <c r="AA33" s="302" t="n"/>
      <c r="AB33" s="302" t="n"/>
      <c r="AC33" s="302" t="n"/>
      <c r="AD33" s="302" t="n"/>
      <c r="AE33" s="302" t="n"/>
      <c r="AF33" s="302" t="n"/>
      <c r="AG33" s="302" t="n"/>
      <c r="AH33" s="302" t="n"/>
      <c r="AI33" s="302" t="n"/>
    </row>
    <row r="34">
      <c r="A34" s="302" t="n"/>
      <c r="B34" s="144" t="n">
        <v>5</v>
      </c>
      <c r="C34" s="86" t="n">
        <v>36</v>
      </c>
      <c r="D34" s="86" t="n">
        <v>24</v>
      </c>
      <c r="E34" s="86" t="n">
        <v>80</v>
      </c>
      <c r="F34" s="86" t="n">
        <v>53</v>
      </c>
      <c r="G34" s="336">
        <f>SUM(C34:F34)</f>
        <v/>
      </c>
      <c r="H34" s="265">
        <f>SUM(G34/30)</f>
        <v/>
      </c>
      <c r="I34" s="302" t="n"/>
      <c r="J34" s="220" t="n">
        <v>44</v>
      </c>
      <c r="K34" s="302" t="n"/>
      <c r="L34" s="302" t="n"/>
      <c r="M34" s="302" t="n"/>
      <c r="N34" s="302" t="n"/>
      <c r="O34" s="302" t="n"/>
      <c r="P34" s="302" t="n"/>
      <c r="Q34" s="302" t="n"/>
      <c r="R34" s="302" t="n"/>
      <c r="S34" s="302" t="n"/>
      <c r="T34" s="302" t="n"/>
      <c r="U34" s="302" t="n"/>
      <c r="V34" s="302" t="n"/>
      <c r="W34" s="302" t="n"/>
      <c r="X34" s="302" t="n"/>
      <c r="Y34" s="302" t="n"/>
      <c r="Z34" s="302" t="n"/>
      <c r="AA34" s="302" t="n"/>
      <c r="AB34" s="302" t="n"/>
      <c r="AC34" s="302" t="n"/>
      <c r="AD34" s="302" t="n"/>
      <c r="AE34" s="302" t="n"/>
      <c r="AF34" s="302" t="n"/>
      <c r="AG34" s="302" t="n"/>
      <c r="AH34" s="302" t="n"/>
      <c r="AI34" s="302" t="n"/>
    </row>
    <row r="35">
      <c r="A35" s="302" t="n"/>
      <c r="B35" s="146" t="n">
        <v>6</v>
      </c>
      <c r="C35" s="86" t="n">
        <v>39</v>
      </c>
      <c r="D35" s="86" t="n">
        <v>26</v>
      </c>
      <c r="E35" s="86" t="n">
        <v>110</v>
      </c>
      <c r="F35" s="86" t="n">
        <v>73</v>
      </c>
      <c r="G35" s="335">
        <f>SUM(C35:F35)</f>
        <v/>
      </c>
      <c r="H35" s="264">
        <f>SUM(G35/30)</f>
        <v/>
      </c>
      <c r="I35" s="302" t="n"/>
      <c r="J35" s="220" t="n">
        <v>46</v>
      </c>
      <c r="K35" s="302" t="n"/>
      <c r="L35" s="302" t="n"/>
      <c r="M35" s="302" t="n"/>
      <c r="N35" s="302" t="n"/>
      <c r="O35" s="302" t="n"/>
      <c r="P35" s="302" t="n"/>
      <c r="Q35" s="302" t="n"/>
      <c r="R35" s="302" t="n"/>
      <c r="S35" s="302" t="n"/>
      <c r="T35" s="302" t="n"/>
      <c r="U35" s="302" t="n"/>
      <c r="V35" s="302" t="n"/>
      <c r="W35" s="302" t="n"/>
      <c r="X35" s="302" t="n"/>
      <c r="Y35" s="302" t="n"/>
      <c r="Z35" s="302" t="n"/>
      <c r="AA35" s="302" t="n"/>
      <c r="AB35" s="302" t="n"/>
      <c r="AC35" s="302" t="n"/>
      <c r="AD35" s="302" t="n"/>
      <c r="AE35" s="302" t="n"/>
      <c r="AF35" s="302" t="n"/>
      <c r="AG35" s="302" t="n"/>
      <c r="AH35" s="302" t="n"/>
      <c r="AI35" s="302" t="n"/>
    </row>
    <row r="36">
      <c r="A36" s="302" t="n"/>
      <c r="B36" s="144" t="n">
        <v>7</v>
      </c>
      <c r="C36" s="86" t="n">
        <v>42</v>
      </c>
      <c r="D36" s="86" t="n">
        <v>28</v>
      </c>
      <c r="E36" s="86" t="n">
        <v>141</v>
      </c>
      <c r="F36" s="86" t="n">
        <v>94</v>
      </c>
      <c r="G36" s="336">
        <f>SUM(C36:F36)</f>
        <v/>
      </c>
      <c r="H36" s="265">
        <f>SUM(G36/30)</f>
        <v/>
      </c>
      <c r="I36" s="302" t="n"/>
      <c r="J36" s="220" t="n">
        <v>50</v>
      </c>
      <c r="K36" s="302" t="n"/>
      <c r="L36" s="302" t="n"/>
      <c r="M36" s="302" t="n"/>
      <c r="N36" s="302" t="n"/>
      <c r="O36" s="302" t="n"/>
      <c r="P36" s="302" t="n"/>
      <c r="Q36" s="302" t="n"/>
      <c r="R36" s="302" t="n"/>
      <c r="S36" s="302" t="n"/>
      <c r="T36" s="302" t="n"/>
      <c r="U36" s="302" t="n"/>
      <c r="V36" s="302" t="n"/>
      <c r="W36" s="302" t="n"/>
      <c r="X36" s="302" t="n"/>
      <c r="Y36" s="302" t="n"/>
      <c r="Z36" s="302" t="n"/>
      <c r="AA36" s="302" t="n"/>
      <c r="AB36" s="302" t="n"/>
      <c r="AC36" s="302" t="n"/>
      <c r="AD36" s="302" t="n"/>
      <c r="AE36" s="302" t="n"/>
      <c r="AF36" s="302" t="n"/>
      <c r="AG36" s="302" t="n"/>
      <c r="AH36" s="302" t="n"/>
      <c r="AI36" s="302" t="n"/>
    </row>
    <row r="37">
      <c r="A37" s="302" t="n"/>
      <c r="B37" s="145" t="n">
        <v>8</v>
      </c>
      <c r="C37" s="86" t="n">
        <v>30</v>
      </c>
      <c r="D37" s="86" t="n">
        <v>20</v>
      </c>
      <c r="E37" s="86" t="n">
        <v>173</v>
      </c>
      <c r="F37" s="86" t="n">
        <v>115</v>
      </c>
      <c r="G37" s="334">
        <f>SUM(C37:F37)</f>
        <v/>
      </c>
      <c r="H37" s="263">
        <f>SUM(G37/30)</f>
        <v/>
      </c>
      <c r="I37" s="302" t="n"/>
      <c r="J37" s="220" t="n">
        <v>48</v>
      </c>
      <c r="K37" s="302" t="n"/>
      <c r="L37" s="302" t="n"/>
      <c r="M37" s="302" t="n"/>
      <c r="N37" s="302" t="n"/>
      <c r="O37" s="302" t="n"/>
      <c r="P37" s="302" t="n"/>
      <c r="Q37" s="302" t="n"/>
      <c r="R37" s="302" t="n"/>
      <c r="S37" s="302" t="n"/>
      <c r="T37" s="302" t="n"/>
      <c r="U37" s="302" t="n"/>
      <c r="V37" s="302" t="n"/>
      <c r="W37" s="302" t="n"/>
      <c r="X37" s="302" t="n"/>
      <c r="Y37" s="302" t="n"/>
      <c r="Z37" s="302" t="n"/>
      <c r="AA37" s="302" t="n"/>
      <c r="AB37" s="302" t="n"/>
      <c r="AC37" s="302" t="n"/>
      <c r="AD37" s="302" t="n"/>
      <c r="AE37" s="302" t="n"/>
      <c r="AF37" s="302" t="n"/>
      <c r="AG37" s="302" t="n"/>
      <c r="AH37" s="302" t="n"/>
      <c r="AI37" s="302" t="n"/>
    </row>
    <row r="38">
      <c r="A38" s="302" t="n"/>
      <c r="B38" s="144" t="n">
        <v>9</v>
      </c>
      <c r="C38" s="86" t="n">
        <v>30</v>
      </c>
      <c r="D38" s="86" t="n">
        <v>20</v>
      </c>
      <c r="E38" s="86" t="n">
        <v>191</v>
      </c>
      <c r="F38" s="86" t="n">
        <v>127</v>
      </c>
      <c r="G38" s="336">
        <f>SUM(C38:F38)</f>
        <v/>
      </c>
      <c r="H38" s="265">
        <f>SUM(G38/30)</f>
        <v/>
      </c>
      <c r="I38" s="302" t="n"/>
      <c r="J38" s="220" t="n">
        <v>51</v>
      </c>
      <c r="K38" s="302" t="n"/>
      <c r="L38" s="302" t="n"/>
      <c r="M38" s="302" t="n"/>
      <c r="N38" s="302" t="n"/>
      <c r="O38" s="302" t="n"/>
      <c r="P38" s="302" t="n"/>
      <c r="Q38" s="302" t="n"/>
      <c r="R38" s="302" t="n"/>
      <c r="S38" s="302" t="n"/>
      <c r="T38" s="302" t="n"/>
      <c r="U38" s="302" t="n"/>
      <c r="V38" s="302" t="n"/>
      <c r="W38" s="302" t="n"/>
      <c r="X38" s="302" t="n"/>
      <c r="Y38" s="302" t="n"/>
      <c r="Z38" s="302" t="n"/>
      <c r="AA38" s="302" t="n"/>
      <c r="AB38" s="302" t="n"/>
      <c r="AC38" s="302" t="n"/>
      <c r="AD38" s="302" t="n"/>
      <c r="AE38" s="302" t="n"/>
      <c r="AF38" s="302" t="n"/>
      <c r="AG38" s="302" t="n"/>
      <c r="AH38" s="302" t="n"/>
      <c r="AI38" s="302" t="n"/>
    </row>
    <row r="39">
      <c r="A39" s="302" t="n"/>
      <c r="B39" s="146" t="n">
        <v>10</v>
      </c>
      <c r="C39" s="86" t="n">
        <v>33</v>
      </c>
      <c r="D39" s="86" t="n">
        <v>22</v>
      </c>
      <c r="E39" s="86" t="n">
        <v>208</v>
      </c>
      <c r="F39" s="86" t="n">
        <v>138</v>
      </c>
      <c r="G39" s="335">
        <f>SUM(C39:F39)</f>
        <v/>
      </c>
      <c r="H39" s="264">
        <f>SUM(G39/30)</f>
        <v/>
      </c>
      <c r="I39" s="302" t="n"/>
      <c r="J39" s="220" t="n">
        <v>55</v>
      </c>
      <c r="K39" s="302" t="n"/>
      <c r="L39" s="302" t="n"/>
      <c r="M39" s="302" t="n"/>
      <c r="N39" s="302" t="n"/>
      <c r="O39" s="302" t="n"/>
      <c r="P39" s="302" t="n"/>
      <c r="Q39" s="302" t="n"/>
      <c r="R39" s="302" t="n"/>
      <c r="S39" s="302" t="n"/>
      <c r="T39" s="302" t="n"/>
      <c r="U39" s="302" t="n"/>
      <c r="V39" s="302" t="n"/>
      <c r="W39" s="302" t="n"/>
      <c r="X39" s="302" t="n"/>
      <c r="Y39" s="302" t="n"/>
      <c r="Z39" s="302" t="n"/>
      <c r="AA39" s="302" t="n"/>
      <c r="AB39" s="302" t="n"/>
      <c r="AC39" s="302" t="n"/>
      <c r="AD39" s="302" t="n"/>
      <c r="AE39" s="302" t="n"/>
      <c r="AF39" s="302" t="n"/>
      <c r="AG39" s="302" t="n"/>
      <c r="AH39" s="302" t="n"/>
      <c r="AI39" s="302" t="n"/>
    </row>
    <row r="40">
      <c r="A40" s="302" t="n"/>
      <c r="B40" s="144" t="n">
        <v>11</v>
      </c>
      <c r="C40" s="86" t="n">
        <v>33</v>
      </c>
      <c r="D40" s="86" t="n">
        <v>22</v>
      </c>
      <c r="E40" s="86" t="n">
        <v>226</v>
      </c>
      <c r="F40" s="86" t="n">
        <v>150</v>
      </c>
      <c r="G40" s="336">
        <f>SUM(C40:F40)</f>
        <v/>
      </c>
      <c r="H40" s="265">
        <f>SUM(G40/30)</f>
        <v/>
      </c>
      <c r="I40" s="302" t="n"/>
      <c r="J40" s="220" t="n">
        <v>55</v>
      </c>
      <c r="K40" s="302" t="n"/>
      <c r="L40" s="302" t="n"/>
      <c r="M40" s="302" t="n"/>
      <c r="N40" s="302" t="n"/>
      <c r="O40" s="302" t="n"/>
      <c r="P40" s="302" t="n"/>
      <c r="Q40" s="302" t="n"/>
      <c r="R40" s="302" t="n"/>
      <c r="S40" s="302" t="n"/>
      <c r="T40" s="302" t="n"/>
      <c r="U40" s="302" t="n"/>
      <c r="V40" s="302" t="n"/>
      <c r="W40" s="302" t="n"/>
      <c r="X40" s="302" t="n"/>
      <c r="Y40" s="302" t="n"/>
      <c r="Z40" s="302" t="n"/>
      <c r="AA40" s="302" t="n"/>
      <c r="AB40" s="302" t="n"/>
      <c r="AC40" s="302" t="n"/>
      <c r="AD40" s="302" t="n"/>
      <c r="AE40" s="302" t="n"/>
      <c r="AF40" s="302" t="n"/>
      <c r="AG40" s="302" t="n"/>
      <c r="AH40" s="302" t="n"/>
      <c r="AI40" s="302" t="n"/>
    </row>
    <row r="41" ht="14.5" customHeight="1" thickBot="1">
      <c r="A41" s="302" t="n"/>
      <c r="B41" s="147" t="n">
        <v>12</v>
      </c>
      <c r="C41" s="148" t="n">
        <v>36</v>
      </c>
      <c r="D41" s="148" t="n">
        <v>24</v>
      </c>
      <c r="E41" s="148" t="n">
        <v>243</v>
      </c>
      <c r="F41" s="148" t="n">
        <v>162</v>
      </c>
      <c r="G41" s="337">
        <f>SUM(C41:F41)</f>
        <v/>
      </c>
      <c r="H41" s="266">
        <f>SUM(G41/30)</f>
        <v/>
      </c>
      <c r="I41" s="302" t="n"/>
      <c r="J41" s="220" t="n">
        <v>60</v>
      </c>
      <c r="K41" s="302" t="n"/>
      <c r="L41" s="302" t="n"/>
      <c r="M41" s="302" t="n"/>
      <c r="N41" s="302" t="n"/>
      <c r="O41" s="302" t="n"/>
      <c r="P41" s="302" t="n"/>
      <c r="Q41" s="302" t="n"/>
      <c r="R41" s="302" t="n"/>
      <c r="S41" s="302" t="n"/>
      <c r="T41" s="302" t="n"/>
      <c r="U41" s="302" t="n"/>
      <c r="V41" s="302" t="n"/>
      <c r="W41" s="302" t="n"/>
      <c r="X41" s="302" t="n"/>
      <c r="Y41" s="302" t="n"/>
      <c r="Z41" s="302" t="n"/>
      <c r="AA41" s="302" t="n"/>
      <c r="AB41" s="302" t="n"/>
      <c r="AC41" s="302" t="n"/>
      <c r="AD41" s="302" t="n"/>
      <c r="AE41" s="302" t="n"/>
      <c r="AF41" s="302" t="n"/>
      <c r="AG41" s="302" t="n"/>
      <c r="AH41" s="302" t="n"/>
      <c r="AI41" s="302" t="n"/>
    </row>
    <row r="42" ht="29.25" customFormat="1" customHeight="1" s="240">
      <c r="A42" s="302" t="n"/>
      <c r="B42" s="302" t="n"/>
      <c r="C42" s="318" t="n"/>
      <c r="D42" s="318" t="n"/>
      <c r="E42" s="318" t="n"/>
      <c r="F42" s="318" t="n"/>
      <c r="G42" s="302" t="n"/>
      <c r="H42" s="302" t="n"/>
      <c r="I42" s="302" t="n"/>
      <c r="J42" s="302" t="n"/>
      <c r="K42" s="302" t="n"/>
      <c r="L42" s="302" t="n"/>
      <c r="M42" s="302" t="n"/>
      <c r="N42" s="302" t="n"/>
      <c r="O42" s="302" t="n"/>
      <c r="P42" s="302" t="n"/>
      <c r="Q42" s="302" t="n"/>
      <c r="R42" s="302" t="n"/>
      <c r="S42" s="302" t="n"/>
      <c r="T42" s="302" t="n"/>
      <c r="U42" s="302" t="n"/>
      <c r="V42" s="302" t="n"/>
      <c r="W42" s="302" t="n"/>
      <c r="X42" s="302" t="n"/>
      <c r="Y42" s="302" t="n"/>
      <c r="Z42" s="302" t="n"/>
      <c r="AA42" s="302" t="n"/>
      <c r="AB42" s="302" t="n"/>
      <c r="AC42" s="302" t="n"/>
      <c r="AD42" s="302" t="n"/>
      <c r="AE42" s="302" t="n"/>
      <c r="AF42" s="302" t="n"/>
      <c r="AG42" s="302" t="n"/>
      <c r="AH42" s="302" t="n"/>
      <c r="AI42" s="302" t="n"/>
    </row>
    <row r="43" ht="29.25" customFormat="1" customHeight="1" s="240">
      <c r="A43" s="302" t="n"/>
      <c r="B43" s="302" t="n"/>
      <c r="C43" s="318" t="n"/>
      <c r="D43" s="318" t="n"/>
      <c r="E43" s="318" t="n"/>
      <c r="F43" s="318" t="n"/>
      <c r="G43" s="302" t="n"/>
      <c r="H43" s="302" t="n"/>
      <c r="I43" s="302" t="n"/>
      <c r="J43" s="302" t="n"/>
      <c r="K43" s="302" t="n"/>
      <c r="L43" s="302" t="n"/>
      <c r="M43" s="302" t="n"/>
      <c r="N43" s="302" t="n"/>
      <c r="O43" s="302" t="n"/>
      <c r="P43" s="302" t="n"/>
      <c r="Q43" s="302" t="n"/>
      <c r="R43" s="302" t="n"/>
      <c r="S43" s="302" t="n"/>
      <c r="T43" s="302" t="n"/>
      <c r="U43" s="302" t="n"/>
      <c r="V43" s="302" t="n"/>
      <c r="W43" s="302" t="n"/>
      <c r="X43" s="302" t="n"/>
      <c r="Y43" s="302" t="n"/>
      <c r="Z43" s="302" t="n"/>
      <c r="AA43" s="302" t="n"/>
      <c r="AB43" s="302" t="n"/>
      <c r="AC43" s="302" t="n"/>
      <c r="AD43" s="302" t="n"/>
      <c r="AE43" s="302" t="n"/>
      <c r="AF43" s="302" t="n"/>
      <c r="AG43" s="302" t="n"/>
      <c r="AH43" s="302" t="n"/>
      <c r="AI43" s="302" t="n"/>
    </row>
    <row r="44" ht="20" customFormat="1" customHeight="1" s="240">
      <c r="A44" s="302" t="n"/>
      <c r="B44" s="248" t="inlineStr">
        <is>
          <t>Sales (£)</t>
        </is>
      </c>
      <c r="C44" s="302" t="n"/>
      <c r="D44" s="302" t="n"/>
      <c r="E44" s="302" t="n"/>
      <c r="F44" s="302" t="n"/>
      <c r="G44" s="302" t="n"/>
      <c r="H44" s="302" t="n"/>
      <c r="I44" s="302" t="n"/>
      <c r="J44" s="302" t="n"/>
      <c r="K44" s="302" t="n"/>
      <c r="L44" s="302" t="n"/>
      <c r="M44" s="302" t="n"/>
      <c r="N44" s="302" t="n"/>
      <c r="O44" s="302" t="n"/>
      <c r="P44" s="302" t="n"/>
      <c r="Q44" s="302" t="n"/>
      <c r="R44" s="302" t="n"/>
      <c r="S44" s="302" t="n"/>
      <c r="T44" s="302" t="n"/>
      <c r="U44" s="302" t="n"/>
      <c r="V44" s="302" t="n"/>
      <c r="W44" s="302" t="n"/>
      <c r="X44" s="302" t="n"/>
      <c r="Y44" s="302" t="n"/>
      <c r="Z44" s="302" t="n"/>
      <c r="AA44" s="302" t="n"/>
      <c r="AB44" s="302" t="n"/>
      <c r="AC44" s="302" t="n"/>
      <c r="AD44" s="302" t="n"/>
      <c r="AE44" s="302" t="n"/>
      <c r="AF44" s="302" t="n"/>
      <c r="AG44" s="302" t="n"/>
      <c r="AH44" s="302" t="n"/>
      <c r="AI44" s="302" t="n"/>
    </row>
    <row r="45" ht="15.5" customFormat="1" customHeight="1" s="240">
      <c r="A45" s="302" t="n"/>
      <c r="B45" s="258" t="inlineStr">
        <is>
          <t>You do not need to edit this section; this will auto-calculate based on your responses above. *Average sales value per day is based on 30 days per month.</t>
        </is>
      </c>
      <c r="C45" s="302" t="n"/>
      <c r="D45" s="302" t="n"/>
      <c r="E45" s="302" t="n"/>
      <c r="F45" s="302" t="n"/>
      <c r="G45" s="302" t="n"/>
      <c r="H45" s="302" t="n"/>
      <c r="I45" s="302" t="n"/>
      <c r="J45" s="302" t="n"/>
      <c r="K45" s="302" t="n"/>
      <c r="L45" s="302" t="n"/>
      <c r="M45" s="302" t="n"/>
      <c r="N45" s="302" t="n"/>
      <c r="O45" s="302" t="n"/>
      <c r="P45" s="302" t="n"/>
      <c r="Q45" s="302" t="n"/>
      <c r="R45" s="302" t="n"/>
      <c r="S45" s="302" t="n"/>
      <c r="T45" s="302" t="n"/>
      <c r="U45" s="302" t="n"/>
      <c r="V45" s="302" t="n"/>
      <c r="W45" s="302" t="n"/>
      <c r="X45" s="302" t="n"/>
      <c r="Y45" s="302" t="n"/>
      <c r="Z45" s="302" t="n"/>
      <c r="AA45" s="302" t="n"/>
      <c r="AB45" s="302" t="n"/>
      <c r="AC45" s="302" t="n"/>
      <c r="AD45" s="302" t="n"/>
      <c r="AE45" s="302" t="n"/>
      <c r="AF45" s="302" t="n"/>
      <c r="AG45" s="302" t="n"/>
      <c r="AH45" s="302" t="n"/>
      <c r="AI45" s="302" t="n"/>
    </row>
    <row r="46" ht="9.25" customFormat="1" customHeight="1" s="240" thickBot="1">
      <c r="A46" s="302" t="n"/>
      <c r="B46" s="261" t="n"/>
      <c r="C46" s="302" t="n"/>
      <c r="D46" s="302" t="n"/>
      <c r="E46" s="302" t="n"/>
      <c r="F46" s="302" t="n"/>
      <c r="G46" s="302" t="n"/>
      <c r="H46" s="302" t="n"/>
      <c r="I46" s="302" t="n"/>
      <c r="J46" s="302" t="n"/>
      <c r="K46" s="302" t="n"/>
      <c r="L46" s="302" t="n"/>
      <c r="M46" s="302" t="n"/>
      <c r="N46" s="302" t="n"/>
      <c r="O46" s="302" t="n"/>
      <c r="P46" s="302" t="n"/>
      <c r="Q46" s="302" t="n"/>
      <c r="R46" s="302" t="n"/>
      <c r="S46" s="302" t="n"/>
      <c r="T46" s="302" t="n"/>
      <c r="U46" s="302" t="n"/>
      <c r="V46" s="302" t="n"/>
      <c r="W46" s="302" t="n"/>
      <c r="X46" s="302" t="n"/>
      <c r="Y46" s="302" t="n"/>
      <c r="Z46" s="302" t="n"/>
      <c r="AA46" s="302" t="n"/>
      <c r="AB46" s="302" t="n"/>
      <c r="AC46" s="302" t="n"/>
      <c r="AD46" s="302" t="n"/>
      <c r="AE46" s="302" t="n"/>
      <c r="AF46" s="302" t="n"/>
      <c r="AG46" s="302" t="n"/>
      <c r="AH46" s="302" t="n"/>
      <c r="AI46" s="302" t="n"/>
    </row>
    <row r="47" ht="28" customHeight="1">
      <c r="A47" s="302" t="n"/>
      <c r="B47" s="150" t="inlineStr">
        <is>
          <t>Month</t>
        </is>
      </c>
      <c r="C47" s="151" t="inlineStr">
        <is>
          <t>Product / Service 1</t>
        </is>
      </c>
      <c r="D47" s="152" t="inlineStr">
        <is>
          <t>Product / Service 2</t>
        </is>
      </c>
      <c r="E47" s="151" t="inlineStr">
        <is>
          <t>Product / Service 3</t>
        </is>
      </c>
      <c r="F47" s="143" t="inlineStr">
        <is>
          <t>Product / Service 4</t>
        </is>
      </c>
      <c r="G47" s="149" t="inlineStr">
        <is>
          <t>Total sales value (£)
per month</t>
        </is>
      </c>
      <c r="H47" s="149" t="inlineStr">
        <is>
          <t>Average sales value
per day*</t>
        </is>
      </c>
      <c r="I47" s="302" t="n"/>
      <c r="J47" s="223" t="inlineStr">
        <is>
          <t>Worked Example</t>
        </is>
      </c>
      <c r="K47" s="302" t="n"/>
      <c r="L47" s="302" t="n"/>
      <c r="M47" s="302" t="n"/>
      <c r="N47" s="302" t="n"/>
      <c r="O47" s="302" t="n"/>
      <c r="P47" s="302" t="n"/>
      <c r="Q47" s="302" t="n"/>
      <c r="R47" s="302" t="n"/>
      <c r="S47" s="302" t="n"/>
      <c r="T47" s="302" t="n"/>
      <c r="U47" s="302" t="n"/>
      <c r="V47" s="302" t="n"/>
      <c r="W47" s="302" t="n"/>
      <c r="X47" s="302" t="n"/>
      <c r="Y47" s="302" t="n"/>
      <c r="Z47" s="302" t="n"/>
      <c r="AA47" s="302" t="n"/>
      <c r="AB47" s="302" t="n"/>
      <c r="AC47" s="302" t="n"/>
      <c r="AD47" s="302" t="n"/>
      <c r="AE47" s="302" t="n"/>
      <c r="AF47" s="302" t="n"/>
      <c r="AG47" s="302" t="n"/>
      <c r="AH47" s="302" t="n"/>
      <c r="AI47" s="302" t="n"/>
    </row>
    <row r="48" ht="14.5" customHeight="1">
      <c r="A48" s="302" t="n"/>
      <c r="B48" s="144" t="n">
        <v>1</v>
      </c>
      <c r="C48" s="1114">
        <f>SUM($C$22*C30)</f>
        <v/>
      </c>
      <c r="D48" s="1115">
        <f>SUM($D$22*D30)</f>
        <v/>
      </c>
      <c r="E48" s="1116">
        <f>SUM($E$22*E30)</f>
        <v/>
      </c>
      <c r="F48" s="1117">
        <f>SUM($F$22*F30)</f>
        <v/>
      </c>
      <c r="G48" s="1118">
        <f>SUM(C48:F48)</f>
        <v/>
      </c>
      <c r="H48" s="1119">
        <f>SUM(G48/30)</f>
        <v/>
      </c>
      <c r="I48" s="302" t="n"/>
      <c r="J48" s="1112">
        <f>SUM($J$22*J30)</f>
        <v/>
      </c>
      <c r="K48" s="302" t="n"/>
      <c r="L48" s="302" t="n"/>
      <c r="M48" s="302" t="n"/>
      <c r="N48" s="302" t="n"/>
      <c r="O48" s="302" t="n"/>
      <c r="P48" s="302" t="n"/>
      <c r="Q48" s="302" t="n"/>
      <c r="R48" s="302" t="n"/>
      <c r="S48" s="302" t="n"/>
      <c r="T48" s="302" t="n"/>
      <c r="U48" s="302" t="n"/>
      <c r="V48" s="302" t="n"/>
      <c r="W48" s="302" t="n"/>
      <c r="X48" s="302" t="n"/>
      <c r="Y48" s="302" t="n"/>
      <c r="Z48" s="302" t="n"/>
      <c r="AA48" s="302" t="n"/>
      <c r="AB48" s="302" t="n"/>
      <c r="AC48" s="302" t="n"/>
      <c r="AD48" s="302" t="n"/>
      <c r="AE48" s="302" t="n"/>
      <c r="AF48" s="302" t="n"/>
      <c r="AG48" s="302" t="n"/>
      <c r="AH48" s="302" t="n"/>
      <c r="AI48" s="302" t="n"/>
    </row>
    <row r="49" ht="14.5" customHeight="1">
      <c r="A49" s="302" t="n"/>
      <c r="B49" s="145" t="n">
        <v>2</v>
      </c>
      <c r="C49" s="1114">
        <f>SUM($C$22*C31)</f>
        <v/>
      </c>
      <c r="D49" s="1120">
        <f>SUM($D$22*D31)</f>
        <v/>
      </c>
      <c r="E49" s="1121">
        <f>SUM($E$22*E31)</f>
        <v/>
      </c>
      <c r="F49" s="1122">
        <f>SUM($F$22*F31)</f>
        <v/>
      </c>
      <c r="G49" s="1123">
        <f>SUM(C49:F49)</f>
        <v/>
      </c>
      <c r="H49" s="1124">
        <f>SUM(G49/30)</f>
        <v/>
      </c>
      <c r="I49" s="302" t="n"/>
      <c r="J49" s="1112">
        <f>SUM($J$22*J31)</f>
        <v/>
      </c>
      <c r="K49" s="302" t="n"/>
      <c r="L49" s="302" t="n"/>
      <c r="M49" s="302" t="n"/>
      <c r="N49" s="302" t="n"/>
      <c r="O49" s="302" t="n"/>
      <c r="P49" s="302" t="n"/>
      <c r="Q49" s="302" t="n"/>
      <c r="R49" s="302" t="n"/>
      <c r="S49" s="302" t="n"/>
      <c r="T49" s="302" t="n"/>
      <c r="U49" s="302" t="n"/>
      <c r="V49" s="302" t="n"/>
      <c r="W49" s="302" t="n"/>
      <c r="X49" s="302" t="n"/>
      <c r="Y49" s="302" t="n"/>
      <c r="Z49" s="302" t="n"/>
      <c r="AA49" s="302" t="n"/>
      <c r="AB49" s="302" t="n"/>
      <c r="AC49" s="302" t="n"/>
      <c r="AD49" s="302" t="n"/>
      <c r="AE49" s="302" t="n"/>
      <c r="AF49" s="302" t="n"/>
      <c r="AG49" s="302" t="n"/>
      <c r="AH49" s="302" t="n"/>
      <c r="AI49" s="302" t="n"/>
    </row>
    <row r="50" ht="14.5" customHeight="1">
      <c r="A50" s="302" t="n"/>
      <c r="B50" s="144" t="n">
        <v>3</v>
      </c>
      <c r="C50" s="1114">
        <f>SUM($C$22*C32)</f>
        <v/>
      </c>
      <c r="D50" s="1115">
        <f>SUM($D$22*D32)</f>
        <v/>
      </c>
      <c r="E50" s="1116">
        <f>SUM($E$22*E32)</f>
        <v/>
      </c>
      <c r="F50" s="1117">
        <f>SUM($F$22*F32)</f>
        <v/>
      </c>
      <c r="G50" s="1118">
        <f>SUM(C50:F50)</f>
        <v/>
      </c>
      <c r="H50" s="1119">
        <f>SUM(G50/30)</f>
        <v/>
      </c>
      <c r="I50" s="302" t="n"/>
      <c r="J50" s="1112" t="n"/>
      <c r="K50" s="302" t="n"/>
      <c r="L50" s="302" t="n"/>
      <c r="M50" s="302" t="n"/>
      <c r="N50" s="302" t="n"/>
      <c r="O50" s="302" t="n"/>
      <c r="P50" s="302" t="n"/>
      <c r="Q50" s="302" t="n"/>
      <c r="R50" s="302" t="n"/>
      <c r="S50" s="302" t="n"/>
      <c r="T50" s="302" t="n"/>
      <c r="U50" s="302" t="n"/>
      <c r="V50" s="302" t="n"/>
      <c r="W50" s="302" t="n"/>
      <c r="X50" s="302" t="n"/>
      <c r="Y50" s="302" t="n"/>
      <c r="Z50" s="302" t="n"/>
      <c r="AA50" s="302" t="n"/>
      <c r="AB50" s="302" t="n"/>
      <c r="AC50" s="302" t="n"/>
      <c r="AD50" s="302" t="n"/>
      <c r="AE50" s="302" t="n"/>
      <c r="AF50" s="302" t="n"/>
      <c r="AG50" s="302" t="n"/>
      <c r="AH50" s="302" t="n"/>
      <c r="AI50" s="302" t="n"/>
    </row>
    <row r="51" ht="14.5" customHeight="1">
      <c r="A51" s="302" t="n"/>
      <c r="B51" s="145" t="n">
        <v>4</v>
      </c>
      <c r="C51" s="1114">
        <f>SUM($C$22*C33)</f>
        <v/>
      </c>
      <c r="D51" s="1120">
        <f>SUM($D$22*D33)</f>
        <v/>
      </c>
      <c r="E51" s="1121">
        <f>SUM($E$22*E33)</f>
        <v/>
      </c>
      <c r="F51" s="1122">
        <f>SUM($F$22*F33)</f>
        <v/>
      </c>
      <c r="G51" s="1123">
        <f>SUM(C51:F51)</f>
        <v/>
      </c>
      <c r="H51" s="1124">
        <f>SUM(G51/30)</f>
        <v/>
      </c>
      <c r="I51" s="302" t="n"/>
      <c r="J51" s="1112">
        <f>SUM($J$22*J33)</f>
        <v/>
      </c>
      <c r="K51" s="302" t="n"/>
      <c r="L51" s="302" t="n"/>
      <c r="M51" s="302" t="n"/>
      <c r="N51" s="302" t="n"/>
      <c r="O51" s="302" t="n"/>
      <c r="P51" s="302" t="n"/>
      <c r="Q51" s="302" t="n"/>
      <c r="R51" s="302" t="n"/>
      <c r="S51" s="302" t="n"/>
      <c r="T51" s="302" t="n"/>
      <c r="U51" s="302" t="n"/>
      <c r="V51" s="302" t="n"/>
      <c r="W51" s="302" t="n"/>
      <c r="X51" s="302" t="n"/>
      <c r="Y51" s="302" t="n"/>
      <c r="Z51" s="302" t="n"/>
      <c r="AA51" s="302" t="n"/>
      <c r="AB51" s="302" t="n"/>
      <c r="AC51" s="302" t="n"/>
      <c r="AD51" s="302" t="n"/>
      <c r="AE51" s="302" t="n"/>
      <c r="AF51" s="302" t="n"/>
      <c r="AG51" s="302" t="n"/>
      <c r="AH51" s="302" t="n"/>
      <c r="AI51" s="302" t="n"/>
    </row>
    <row r="52" ht="14.5" customHeight="1">
      <c r="A52" s="302" t="n"/>
      <c r="B52" s="145" t="n">
        <v>5</v>
      </c>
      <c r="C52" s="1114">
        <f>SUM($C$22*C34)</f>
        <v/>
      </c>
      <c r="D52" s="1120">
        <f>SUM($D$22*D34)</f>
        <v/>
      </c>
      <c r="E52" s="1121">
        <f>SUM($E$22*E34)</f>
        <v/>
      </c>
      <c r="F52" s="1122">
        <f>SUM($F$22*F34)</f>
        <v/>
      </c>
      <c r="G52" s="1123">
        <f>SUM(C52:F52)</f>
        <v/>
      </c>
      <c r="H52" s="1124">
        <f>SUM(G52/30)</f>
        <v/>
      </c>
      <c r="I52" s="302" t="n"/>
      <c r="J52" s="1112">
        <f>SUM($J$22*J34)</f>
        <v/>
      </c>
      <c r="K52" s="302" t="n"/>
      <c r="L52" s="302" t="n"/>
      <c r="M52" s="302" t="n"/>
      <c r="N52" s="302" t="n"/>
      <c r="O52" s="302" t="n"/>
      <c r="P52" s="302" t="n"/>
      <c r="Q52" s="302" t="n"/>
      <c r="R52" s="302" t="n"/>
      <c r="S52" s="302" t="n"/>
      <c r="T52" s="302" t="n"/>
      <c r="U52" s="302" t="n"/>
      <c r="V52" s="302" t="n"/>
      <c r="W52" s="302" t="n"/>
      <c r="X52" s="302" t="n"/>
      <c r="Y52" s="302" t="n"/>
      <c r="Z52" s="302" t="n"/>
      <c r="AA52" s="302" t="n"/>
      <c r="AB52" s="302" t="n"/>
      <c r="AC52" s="302" t="n"/>
      <c r="AD52" s="302" t="n"/>
      <c r="AE52" s="302" t="n"/>
      <c r="AF52" s="302" t="n"/>
      <c r="AG52" s="302" t="n"/>
      <c r="AH52" s="302" t="n"/>
      <c r="AI52" s="302" t="n"/>
    </row>
    <row r="53" ht="14.5" customHeight="1">
      <c r="A53" s="302" t="n"/>
      <c r="B53" s="145" t="n">
        <v>6</v>
      </c>
      <c r="C53" s="1114">
        <f>SUM($C$22*C35)</f>
        <v/>
      </c>
      <c r="D53" s="1120">
        <f>SUM($D$22*D35)</f>
        <v/>
      </c>
      <c r="E53" s="1121">
        <f>SUM($E$22*E35)</f>
        <v/>
      </c>
      <c r="F53" s="1122">
        <f>SUM($F$22*F35)</f>
        <v/>
      </c>
      <c r="G53" s="1123">
        <f>SUM(C53:F53)</f>
        <v/>
      </c>
      <c r="H53" s="1124">
        <f>SUM(G53/30)</f>
        <v/>
      </c>
      <c r="I53" s="302" t="n"/>
      <c r="J53" s="1112">
        <f>SUM($J$22*J35)</f>
        <v/>
      </c>
      <c r="K53" s="302" t="n"/>
      <c r="L53" s="302" t="n"/>
      <c r="M53" s="302" t="n"/>
      <c r="N53" s="302" t="n"/>
      <c r="O53" s="302" t="n"/>
      <c r="P53" s="302" t="n"/>
      <c r="Q53" s="302" t="n"/>
      <c r="R53" s="302" t="n"/>
      <c r="S53" s="302" t="n"/>
      <c r="T53" s="302" t="n"/>
      <c r="U53" s="302" t="n"/>
      <c r="V53" s="302" t="n"/>
      <c r="W53" s="302" t="n"/>
      <c r="X53" s="302" t="n"/>
      <c r="Y53" s="302" t="n"/>
      <c r="Z53" s="302" t="n"/>
      <c r="AA53" s="302" t="n"/>
      <c r="AB53" s="302" t="n"/>
      <c r="AC53" s="302" t="n"/>
      <c r="AD53" s="302" t="n"/>
      <c r="AE53" s="302" t="n"/>
      <c r="AF53" s="302" t="n"/>
      <c r="AG53" s="302" t="n"/>
      <c r="AH53" s="302" t="n"/>
      <c r="AI53" s="302" t="n"/>
    </row>
    <row r="54" ht="14.5" customHeight="1">
      <c r="A54" s="302" t="n"/>
      <c r="B54" s="146" t="n">
        <v>7</v>
      </c>
      <c r="C54" s="1114">
        <f>SUM($C$22*C36)</f>
        <v/>
      </c>
      <c r="D54" s="1125">
        <f>SUM($D$22*D36)</f>
        <v/>
      </c>
      <c r="E54" s="1126">
        <f>SUM($E$22*E36)</f>
        <v/>
      </c>
      <c r="F54" s="1127">
        <f>SUM($F$22*F36)</f>
        <v/>
      </c>
      <c r="G54" s="1128">
        <f>SUM(C54:F54)</f>
        <v/>
      </c>
      <c r="H54" s="1129">
        <f>SUM(G54/30)</f>
        <v/>
      </c>
      <c r="I54" s="302" t="n"/>
      <c r="J54" s="1112">
        <f>SUM($J$22*J36)</f>
        <v/>
      </c>
      <c r="K54" s="302" t="n"/>
      <c r="L54" s="302" t="n"/>
      <c r="M54" s="302" t="n"/>
      <c r="N54" s="302" t="n"/>
      <c r="O54" s="302" t="n"/>
      <c r="P54" s="302" t="n"/>
      <c r="Q54" s="302" t="n"/>
      <c r="R54" s="302" t="n"/>
      <c r="S54" s="302" t="n"/>
      <c r="T54" s="302" t="n"/>
      <c r="U54" s="302" t="n"/>
      <c r="V54" s="302" t="n"/>
      <c r="W54" s="302" t="n"/>
      <c r="X54" s="302" t="n"/>
      <c r="Y54" s="302" t="n"/>
      <c r="Z54" s="302" t="n"/>
      <c r="AA54" s="302" t="n"/>
      <c r="AB54" s="302" t="n"/>
      <c r="AC54" s="302" t="n"/>
      <c r="AD54" s="302" t="n"/>
      <c r="AE54" s="302" t="n"/>
      <c r="AF54" s="302" t="n"/>
      <c r="AG54" s="302" t="n"/>
      <c r="AH54" s="302" t="n"/>
      <c r="AI54" s="302" t="n"/>
    </row>
    <row r="55" ht="14.5" customHeight="1">
      <c r="A55" s="302" t="n"/>
      <c r="B55" s="144" t="n">
        <v>8</v>
      </c>
      <c r="C55" s="1114">
        <f>SUM($C$22*C37)</f>
        <v/>
      </c>
      <c r="D55" s="1115">
        <f>SUM($D$22*D37)</f>
        <v/>
      </c>
      <c r="E55" s="1116">
        <f>SUM($E$22*E37)</f>
        <v/>
      </c>
      <c r="F55" s="1117">
        <f>SUM($F$22*F37)</f>
        <v/>
      </c>
      <c r="G55" s="1118">
        <f>SUM(C55:F55)</f>
        <v/>
      </c>
      <c r="H55" s="1119">
        <f>SUM(G55/30)</f>
        <v/>
      </c>
      <c r="I55" s="302" t="n"/>
      <c r="J55" s="1112">
        <f>SUM($J$22*J37)</f>
        <v/>
      </c>
      <c r="K55" s="302" t="n"/>
      <c r="L55" s="302" t="n"/>
      <c r="M55" s="302" t="n"/>
      <c r="N55" s="302" t="n"/>
      <c r="O55" s="302" t="n"/>
      <c r="P55" s="302" t="n"/>
      <c r="Q55" s="302" t="n"/>
      <c r="R55" s="302" t="n"/>
      <c r="S55" s="302" t="n"/>
      <c r="T55" s="302" t="n"/>
      <c r="U55" s="302" t="n"/>
      <c r="V55" s="302" t="n"/>
      <c r="W55" s="302" t="n"/>
      <c r="X55" s="302" t="n"/>
      <c r="Y55" s="302" t="n"/>
      <c r="Z55" s="302" t="n"/>
      <c r="AA55" s="302" t="n"/>
      <c r="AB55" s="302" t="n"/>
      <c r="AC55" s="302" t="n"/>
      <c r="AD55" s="302" t="n"/>
      <c r="AE55" s="302" t="n"/>
      <c r="AF55" s="302" t="n"/>
      <c r="AG55" s="302" t="n"/>
      <c r="AH55" s="302" t="n"/>
      <c r="AI55" s="302" t="n"/>
    </row>
    <row r="56" ht="14.5" customHeight="1">
      <c r="A56" s="302" t="n"/>
      <c r="B56" s="145" t="n">
        <v>9</v>
      </c>
      <c r="C56" s="1114">
        <f>SUM($C$22*C38)</f>
        <v/>
      </c>
      <c r="D56" s="1120">
        <f>SUM($D$22*D38)</f>
        <v/>
      </c>
      <c r="E56" s="1121">
        <f>SUM($E$22*E38)</f>
        <v/>
      </c>
      <c r="F56" s="1122">
        <f>SUM($F$22*F38)</f>
        <v/>
      </c>
      <c r="G56" s="1123">
        <f>SUM(C56:F56)</f>
        <v/>
      </c>
      <c r="H56" s="1124">
        <f>SUM(G56/30)</f>
        <v/>
      </c>
      <c r="I56" s="302" t="n"/>
      <c r="J56" s="1112">
        <f>SUM($J$22*J38)</f>
        <v/>
      </c>
      <c r="K56" s="302" t="n"/>
      <c r="L56" s="302" t="n"/>
      <c r="M56" s="302" t="n"/>
      <c r="N56" s="302" t="n"/>
      <c r="O56" s="302" t="n"/>
      <c r="P56" s="302" t="n"/>
      <c r="Q56" s="302" t="n"/>
      <c r="R56" s="302" t="n"/>
      <c r="S56" s="302" t="n"/>
      <c r="T56" s="302" t="n"/>
      <c r="U56" s="302" t="n"/>
      <c r="V56" s="302" t="n"/>
      <c r="W56" s="302" t="n"/>
      <c r="X56" s="302" t="n"/>
      <c r="Y56" s="302" t="n"/>
      <c r="Z56" s="302" t="n"/>
      <c r="AA56" s="302" t="n"/>
      <c r="AB56" s="302" t="n"/>
      <c r="AC56" s="302" t="n"/>
      <c r="AD56" s="302" t="n"/>
      <c r="AE56" s="302" t="n"/>
      <c r="AF56" s="302" t="n"/>
      <c r="AG56" s="302" t="n"/>
      <c r="AH56" s="302" t="n"/>
      <c r="AI56" s="302" t="n"/>
    </row>
    <row r="57" ht="14.5" customHeight="1">
      <c r="A57" s="302" t="n"/>
      <c r="B57" s="355" t="n">
        <v>10</v>
      </c>
      <c r="C57" s="1114">
        <f>SUM($C$22*C39)</f>
        <v/>
      </c>
      <c r="D57" s="1130">
        <f>SUM($D$22*D39)</f>
        <v/>
      </c>
      <c r="E57" s="1131">
        <f>SUM($E$22*E39)</f>
        <v/>
      </c>
      <c r="F57" s="1132">
        <f>SUM($F$22*F39)</f>
        <v/>
      </c>
      <c r="G57" s="1133">
        <f>SUM(C57:F57)</f>
        <v/>
      </c>
      <c r="H57" s="1134">
        <f>SUM(G57/30)</f>
        <v/>
      </c>
      <c r="I57" s="302" t="n"/>
      <c r="J57" s="1112">
        <f>SUM($J$22*J39)</f>
        <v/>
      </c>
      <c r="K57" s="302" t="n"/>
      <c r="L57" s="302" t="n"/>
      <c r="M57" s="302" t="n"/>
      <c r="N57" s="302" t="n"/>
      <c r="O57" s="302" t="n"/>
      <c r="P57" s="302" t="n"/>
      <c r="Q57" s="302" t="n"/>
      <c r="R57" s="302" t="n"/>
      <c r="S57" s="302" t="n"/>
      <c r="T57" s="302" t="n"/>
      <c r="U57" s="302" t="n"/>
      <c r="V57" s="302" t="n"/>
      <c r="W57" s="302" t="n"/>
      <c r="X57" s="302" t="n"/>
      <c r="Y57" s="302" t="n"/>
      <c r="Z57" s="302" t="n"/>
      <c r="AA57" s="302" t="n"/>
      <c r="AB57" s="302" t="n"/>
      <c r="AC57" s="302" t="n"/>
      <c r="AD57" s="302" t="n"/>
      <c r="AE57" s="302" t="n"/>
      <c r="AF57" s="302" t="n"/>
      <c r="AG57" s="302" t="n"/>
      <c r="AH57" s="302" t="n"/>
      <c r="AI57" s="302" t="n"/>
    </row>
    <row r="58" ht="14.5" customHeight="1">
      <c r="A58" s="302" t="n"/>
      <c r="B58" s="144" t="n">
        <v>11</v>
      </c>
      <c r="C58" s="1114">
        <f>SUM($C$22*C40)</f>
        <v/>
      </c>
      <c r="D58" s="1115">
        <f>SUM($D$22*D40)</f>
        <v/>
      </c>
      <c r="E58" s="1116">
        <f>SUM($E$22*E40)</f>
        <v/>
      </c>
      <c r="F58" s="1117">
        <f>SUM($F$22*F40)</f>
        <v/>
      </c>
      <c r="G58" s="1118">
        <f>SUM(C58:F58)</f>
        <v/>
      </c>
      <c r="H58" s="1119">
        <f>SUM(G58/30)</f>
        <v/>
      </c>
      <c r="I58" s="302" t="n"/>
      <c r="J58" s="1112">
        <f>SUM($J$22*J40)</f>
        <v/>
      </c>
      <c r="K58" s="302" t="n"/>
      <c r="L58" s="302" t="n"/>
      <c r="M58" s="302" t="n"/>
      <c r="N58" s="302" t="n"/>
      <c r="O58" s="302" t="n"/>
      <c r="P58" s="302" t="n"/>
      <c r="Q58" s="302" t="n"/>
      <c r="R58" s="302" t="n"/>
      <c r="S58" s="302" t="n"/>
      <c r="T58" s="302" t="n"/>
      <c r="U58" s="302" t="n"/>
      <c r="V58" s="302" t="n"/>
      <c r="W58" s="302" t="n"/>
      <c r="X58" s="302" t="n"/>
      <c r="Y58" s="302" t="n"/>
      <c r="Z58" s="302" t="n"/>
      <c r="AA58" s="302" t="n"/>
      <c r="AB58" s="302" t="n"/>
      <c r="AC58" s="302" t="n"/>
      <c r="AD58" s="302" t="n"/>
      <c r="AE58" s="302" t="n"/>
      <c r="AF58" s="302" t="n"/>
      <c r="AG58" s="302" t="n"/>
      <c r="AH58" s="302" t="n"/>
      <c r="AI58" s="302" t="n"/>
    </row>
    <row r="59" ht="15" customHeight="1" thickBot="1">
      <c r="A59" s="302" t="n"/>
      <c r="B59" s="147" t="n">
        <v>12</v>
      </c>
      <c r="C59" s="1114">
        <f>SUM($C$22*C41)</f>
        <v/>
      </c>
      <c r="D59" s="1135">
        <f>SUM($D$22*D41)</f>
        <v/>
      </c>
      <c r="E59" s="1136">
        <f>SUM($E$22*E41)</f>
        <v/>
      </c>
      <c r="F59" s="1137">
        <f>SUM($F$22*F41)</f>
        <v/>
      </c>
      <c r="G59" s="1138">
        <f>SUM(C59:F59)</f>
        <v/>
      </c>
      <c r="H59" s="1139">
        <f>SUM(G59/30)</f>
        <v/>
      </c>
      <c r="I59" s="302" t="n"/>
      <c r="J59" s="1112">
        <f>SUM($J$22*J41)</f>
        <v/>
      </c>
      <c r="K59" s="302" t="n"/>
      <c r="L59" s="302" t="n"/>
      <c r="M59" s="302" t="n"/>
      <c r="N59" s="302" t="n"/>
      <c r="O59" s="302" t="n"/>
      <c r="P59" s="302" t="n"/>
      <c r="Q59" s="302" t="n"/>
      <c r="R59" s="302" t="n"/>
      <c r="S59" s="302" t="n"/>
      <c r="T59" s="302" t="n"/>
      <c r="U59" s="302" t="n"/>
      <c r="V59" s="302" t="n"/>
      <c r="W59" s="302" t="n"/>
      <c r="X59" s="302" t="n"/>
      <c r="Y59" s="302" t="n"/>
      <c r="Z59" s="302" t="n"/>
      <c r="AA59" s="302" t="n"/>
      <c r="AB59" s="302" t="n"/>
      <c r="AC59" s="302" t="n"/>
      <c r="AD59" s="302" t="n"/>
      <c r="AE59" s="302" t="n"/>
      <c r="AF59" s="302" t="n"/>
      <c r="AG59" s="302" t="n"/>
      <c r="AH59" s="302" t="n"/>
      <c r="AI59" s="302" t="n"/>
    </row>
    <row r="60" customFormat="1" s="240">
      <c r="A60" s="302" t="n"/>
      <c r="B60" s="302" t="n"/>
      <c r="C60" s="302" t="n"/>
      <c r="D60" s="302" t="n"/>
      <c r="E60" s="302" t="n"/>
      <c r="F60" s="302" t="n"/>
      <c r="G60" s="302" t="n"/>
      <c r="H60" s="302" t="n"/>
      <c r="I60" s="302" t="n"/>
      <c r="J60" s="302" t="n"/>
      <c r="K60" s="310" t="n"/>
      <c r="L60" s="310" t="n"/>
      <c r="M60" s="302" t="n"/>
      <c r="N60" s="302" t="n"/>
      <c r="O60" s="302" t="n"/>
      <c r="P60" s="302" t="n"/>
      <c r="Q60" s="302" t="n"/>
      <c r="R60" s="302" t="n"/>
      <c r="S60" s="302" t="n"/>
      <c r="T60" s="302" t="n"/>
      <c r="U60" s="302" t="n"/>
      <c r="V60" s="302" t="n"/>
      <c r="W60" s="302" t="n"/>
      <c r="X60" s="302" t="n"/>
      <c r="Y60" s="302" t="n"/>
      <c r="Z60" s="302" t="n"/>
      <c r="AA60" s="302" t="n"/>
      <c r="AB60" s="302" t="n"/>
      <c r="AC60" s="302" t="n"/>
      <c r="AD60" s="302" t="n"/>
      <c r="AE60" s="302" t="n"/>
      <c r="AF60" s="302" t="n"/>
      <c r="AG60" s="302" t="n"/>
      <c r="AH60" s="302" t="n"/>
      <c r="AI60" s="302" t="n"/>
    </row>
    <row r="61" ht="20" customFormat="1" customHeight="1" s="240">
      <c r="A61" s="302" t="n"/>
      <c r="B61" s="248" t="inlineStr">
        <is>
          <t>Cost of sales</t>
        </is>
      </c>
      <c r="C61" s="302" t="n"/>
      <c r="D61" s="302" t="n"/>
      <c r="E61" s="302" t="n"/>
      <c r="F61" s="302" t="n"/>
      <c r="G61" s="302" t="n"/>
      <c r="H61" s="302" t="n"/>
      <c r="I61" s="302" t="n"/>
      <c r="J61" s="302" t="n"/>
      <c r="K61" s="310" t="n"/>
      <c r="L61" s="310" t="n"/>
      <c r="M61" s="302" t="n"/>
      <c r="N61" s="302" t="n"/>
      <c r="O61" s="302" t="n"/>
      <c r="P61" s="302" t="n"/>
      <c r="Q61" s="302" t="n"/>
      <c r="R61" s="302" t="n"/>
      <c r="S61" s="302" t="n"/>
      <c r="T61" s="302" t="n"/>
      <c r="U61" s="302" t="n"/>
      <c r="V61" s="302" t="n"/>
      <c r="W61" s="302" t="n"/>
      <c r="X61" s="302" t="n"/>
      <c r="Y61" s="302" t="n"/>
      <c r="Z61" s="302" t="n"/>
      <c r="AA61" s="302" t="n"/>
      <c r="AB61" s="302" t="n"/>
      <c r="AC61" s="302" t="n"/>
      <c r="AD61" s="302" t="n"/>
      <c r="AE61" s="302" t="n"/>
      <c r="AF61" s="302" t="n"/>
      <c r="AG61" s="302" t="n"/>
      <c r="AH61" s="302" t="n"/>
      <c r="AI61" s="302" t="n"/>
    </row>
    <row r="62" ht="15.5" customFormat="1" customHeight="1" s="240">
      <c r="A62" s="302" t="n"/>
      <c r="B62" s="258" t="inlineStr">
        <is>
          <t>You do not need to edit this section; this will auto-calculate based on your responses above. *Average cost of sales per day is based on 30 days per month.</t>
        </is>
      </c>
      <c r="C62" s="302" t="n"/>
      <c r="D62" s="302" t="n"/>
      <c r="E62" s="302" t="n"/>
      <c r="F62" s="302" t="n"/>
      <c r="G62" s="302" t="n"/>
      <c r="H62" s="302" t="n"/>
      <c r="I62" s="302" t="n"/>
      <c r="J62" s="302" t="n"/>
      <c r="K62" s="310" t="n"/>
      <c r="L62" s="310" t="n"/>
      <c r="M62" s="302" t="n"/>
      <c r="N62" s="302" t="n"/>
      <c r="O62" s="302" t="n"/>
      <c r="P62" s="302" t="n"/>
      <c r="Q62" s="302" t="n"/>
      <c r="R62" s="302" t="n"/>
      <c r="S62" s="302" t="n"/>
      <c r="T62" s="302" t="n"/>
      <c r="U62" s="302" t="n"/>
      <c r="V62" s="302" t="n"/>
      <c r="W62" s="302" t="n"/>
      <c r="X62" s="302" t="n"/>
      <c r="Y62" s="302" t="n"/>
      <c r="Z62" s="302" t="n"/>
      <c r="AA62" s="302" t="n"/>
      <c r="AB62" s="302" t="n"/>
      <c r="AC62" s="302" t="n"/>
      <c r="AD62" s="302" t="n"/>
      <c r="AE62" s="302" t="n"/>
      <c r="AF62" s="302" t="n"/>
      <c r="AG62" s="302" t="n"/>
      <c r="AH62" s="302" t="n"/>
      <c r="AI62" s="302" t="n"/>
    </row>
    <row r="63" ht="9.25" customFormat="1" customHeight="1" s="240" thickBot="1">
      <c r="A63" s="302" t="n"/>
      <c r="B63" s="249" t="n"/>
      <c r="C63" s="302" t="n"/>
      <c r="D63" s="302" t="n"/>
      <c r="E63" s="302" t="n"/>
      <c r="F63" s="302" t="n"/>
      <c r="G63" s="302" t="n"/>
      <c r="H63" s="302" t="n"/>
      <c r="I63" s="302" t="n"/>
      <c r="J63" s="302" t="n"/>
      <c r="K63" s="310" t="n"/>
      <c r="L63" s="310" t="n"/>
      <c r="M63" s="302" t="n"/>
      <c r="N63" s="302" t="n"/>
      <c r="O63" s="302" t="n"/>
      <c r="P63" s="302" t="n"/>
      <c r="Q63" s="302" t="n"/>
      <c r="R63" s="302" t="n"/>
      <c r="S63" s="302" t="n"/>
      <c r="T63" s="302" t="n"/>
      <c r="U63" s="302" t="n"/>
      <c r="V63" s="302" t="n"/>
      <c r="W63" s="302" t="n"/>
      <c r="X63" s="302" t="n"/>
      <c r="Y63" s="302" t="n"/>
      <c r="Z63" s="302" t="n"/>
      <c r="AA63" s="302" t="n"/>
      <c r="AB63" s="302" t="n"/>
      <c r="AC63" s="302" t="n"/>
      <c r="AD63" s="302" t="n"/>
      <c r="AE63" s="302" t="n"/>
      <c r="AF63" s="302" t="n"/>
      <c r="AG63" s="302" t="n"/>
      <c r="AH63" s="302" t="n"/>
      <c r="AI63" s="302" t="n"/>
    </row>
    <row r="64" ht="28" customHeight="1">
      <c r="A64" s="302" t="n"/>
      <c r="B64" s="141" t="inlineStr">
        <is>
          <t>Month</t>
        </is>
      </c>
      <c r="C64" s="152" t="inlineStr">
        <is>
          <t>Product / Service 1</t>
        </is>
      </c>
      <c r="D64" s="151" t="inlineStr">
        <is>
          <t>Product / Service 2</t>
        </is>
      </c>
      <c r="E64" s="170" t="inlineStr">
        <is>
          <t>Product / Service 3</t>
        </is>
      </c>
      <c r="F64" s="171" t="inlineStr">
        <is>
          <t>Product / Service 4</t>
        </is>
      </c>
      <c r="G64" s="149" t="inlineStr">
        <is>
          <t>Total cost of sales (£)
per month</t>
        </is>
      </c>
      <c r="H64" s="149" t="inlineStr">
        <is>
          <t>Average cost of sales
per day*</t>
        </is>
      </c>
      <c r="I64" s="302" t="n"/>
      <c r="J64" s="222" t="inlineStr">
        <is>
          <t>Worked Example</t>
        </is>
      </c>
      <c r="K64" s="310" t="n"/>
      <c r="L64" s="310" t="n"/>
      <c r="M64" s="302" t="n"/>
      <c r="N64" s="302" t="n"/>
      <c r="O64" s="302" t="n"/>
      <c r="P64" s="302" t="n"/>
      <c r="Q64" s="302" t="n"/>
      <c r="R64" s="302" t="n"/>
      <c r="S64" s="302" t="n"/>
      <c r="T64" s="302" t="n"/>
      <c r="U64" s="302" t="n"/>
      <c r="V64" s="302" t="n"/>
      <c r="W64" s="302" t="n"/>
      <c r="X64" s="302" t="n"/>
      <c r="Y64" s="302" t="n"/>
      <c r="Z64" s="302" t="n"/>
      <c r="AA64" s="302" t="n"/>
      <c r="AB64" s="302" t="n"/>
      <c r="AC64" s="302" t="n"/>
      <c r="AD64" s="302" t="n"/>
      <c r="AE64" s="302" t="n"/>
      <c r="AF64" s="302" t="n"/>
      <c r="AG64" s="302" t="n"/>
      <c r="AH64" s="302" t="n"/>
      <c r="AI64" s="302" t="n"/>
    </row>
    <row r="65" ht="14.5" customHeight="1">
      <c r="A65" s="302" t="n"/>
      <c r="B65" s="144" t="n">
        <v>1</v>
      </c>
      <c r="C65" s="1115">
        <f>SUM($C$23*C30)</f>
        <v/>
      </c>
      <c r="D65" s="1140">
        <f>SUM($D$23*D30)</f>
        <v/>
      </c>
      <c r="E65" s="1141">
        <f>SUM($E$23*E30)</f>
        <v/>
      </c>
      <c r="F65" s="1142">
        <f>SUM($F$23*F30)</f>
        <v/>
      </c>
      <c r="G65" s="1143">
        <f>SUM(C65:F65)</f>
        <v/>
      </c>
      <c r="H65" s="1144">
        <f>SUM(G65/30)</f>
        <v/>
      </c>
      <c r="I65" s="302" t="n"/>
      <c r="J65" s="1145">
        <f>SUM($J$23*J30)</f>
        <v/>
      </c>
      <c r="K65" s="310" t="n"/>
      <c r="L65" s="310" t="n"/>
      <c r="M65" s="302" t="n"/>
      <c r="N65" s="302" t="n"/>
      <c r="O65" s="302" t="n"/>
      <c r="P65" s="302" t="n"/>
      <c r="Q65" s="302" t="n"/>
      <c r="R65" s="302" t="n"/>
      <c r="S65" s="302" t="n"/>
      <c r="T65" s="302" t="n"/>
      <c r="U65" s="302" t="n"/>
      <c r="V65" s="302" t="n"/>
      <c r="W65" s="302" t="n"/>
      <c r="X65" s="302" t="n"/>
      <c r="Y65" s="302" t="n"/>
      <c r="Z65" s="302" t="n"/>
      <c r="AA65" s="302" t="n"/>
      <c r="AB65" s="302" t="n"/>
      <c r="AC65" s="302" t="n"/>
      <c r="AD65" s="302" t="n"/>
      <c r="AE65" s="302" t="n"/>
      <c r="AF65" s="302" t="n"/>
      <c r="AG65" s="302" t="n"/>
      <c r="AH65" s="302" t="n"/>
      <c r="AI65" s="302" t="n"/>
    </row>
    <row r="66" ht="14.5" customHeight="1">
      <c r="A66" s="302" t="n"/>
      <c r="B66" s="144" t="n">
        <v>2</v>
      </c>
      <c r="C66" s="1115">
        <f>SUM($C$23*C31)</f>
        <v/>
      </c>
      <c r="D66" s="1140">
        <f>SUM($D$23*D31)</f>
        <v/>
      </c>
      <c r="E66" s="1141">
        <f>SUM($E$23*E31)</f>
        <v/>
      </c>
      <c r="F66" s="1142">
        <f>SUM($F$23*F31)</f>
        <v/>
      </c>
      <c r="G66" s="1143">
        <f>SUM(C66:F66)</f>
        <v/>
      </c>
      <c r="H66" s="1144">
        <f>SUM(G66/30)</f>
        <v/>
      </c>
      <c r="I66" s="302" t="n"/>
      <c r="J66" s="1145">
        <f>SUM($J$23*J31)</f>
        <v/>
      </c>
      <c r="K66" s="310" t="n"/>
      <c r="L66" s="310" t="n"/>
      <c r="M66" s="302" t="n"/>
      <c r="N66" s="302" t="n"/>
      <c r="O66" s="302" t="n"/>
      <c r="P66" s="302" t="n"/>
      <c r="Q66" s="302" t="n"/>
      <c r="R66" s="302" t="n"/>
      <c r="S66" s="302" t="n"/>
      <c r="T66" s="302" t="n"/>
      <c r="U66" s="302" t="n"/>
      <c r="V66" s="302" t="n"/>
      <c r="W66" s="302" t="n"/>
      <c r="X66" s="302" t="n"/>
      <c r="Y66" s="302" t="n"/>
      <c r="Z66" s="302" t="n"/>
      <c r="AA66" s="302" t="n"/>
      <c r="AB66" s="302" t="n"/>
      <c r="AC66" s="302" t="n"/>
      <c r="AD66" s="302" t="n"/>
      <c r="AE66" s="302" t="n"/>
      <c r="AF66" s="302" t="n"/>
      <c r="AG66" s="302" t="n"/>
      <c r="AH66" s="302" t="n"/>
      <c r="AI66" s="302" t="n"/>
    </row>
    <row r="67" ht="14.5" customHeight="1">
      <c r="A67" s="302" t="n"/>
      <c r="B67" s="144" t="n">
        <v>3</v>
      </c>
      <c r="C67" s="1115">
        <f>SUM($C$23*C32)</f>
        <v/>
      </c>
      <c r="D67" s="1140">
        <f>SUM($D$23*D32)</f>
        <v/>
      </c>
      <c r="E67" s="1141">
        <f>SUM($E$23*E32)</f>
        <v/>
      </c>
      <c r="F67" s="1142">
        <f>SUM($F$23*F32)</f>
        <v/>
      </c>
      <c r="G67" s="1143">
        <f>SUM(C67:F67)</f>
        <v/>
      </c>
      <c r="H67" s="1144">
        <f>SUM(G67/30)</f>
        <v/>
      </c>
      <c r="I67" s="302" t="n"/>
      <c r="J67" s="1145">
        <f>SUM($J$23*J32)</f>
        <v/>
      </c>
      <c r="K67" s="310" t="n"/>
      <c r="L67" s="310" t="n"/>
      <c r="M67" s="302" t="n"/>
      <c r="N67" s="302" t="n"/>
      <c r="O67" s="302" t="n"/>
      <c r="P67" s="302" t="n"/>
      <c r="Q67" s="302" t="n"/>
      <c r="R67" s="302" t="n"/>
      <c r="S67" s="302" t="n"/>
      <c r="T67" s="302" t="n"/>
      <c r="U67" s="302" t="n"/>
      <c r="V67" s="302" t="n"/>
      <c r="W67" s="302" t="n"/>
      <c r="X67" s="302" t="n"/>
      <c r="Y67" s="302" t="n"/>
      <c r="Z67" s="302" t="n"/>
      <c r="AA67" s="302" t="n"/>
      <c r="AB67" s="302" t="n"/>
      <c r="AC67" s="302" t="n"/>
      <c r="AD67" s="302" t="n"/>
      <c r="AE67" s="302" t="n"/>
      <c r="AF67" s="302" t="n"/>
      <c r="AG67" s="302" t="n"/>
      <c r="AH67" s="302" t="n"/>
      <c r="AI67" s="302" t="n"/>
    </row>
    <row r="68" ht="14.5" customHeight="1">
      <c r="A68" s="302" t="n"/>
      <c r="B68" s="144" t="n">
        <v>4</v>
      </c>
      <c r="C68" s="1115">
        <f>SUM($C$23*C33)</f>
        <v/>
      </c>
      <c r="D68" s="1140">
        <f>SUM($D$23*D33)</f>
        <v/>
      </c>
      <c r="E68" s="1141">
        <f>SUM($E$23*E33)</f>
        <v/>
      </c>
      <c r="F68" s="1142">
        <f>SUM($F$23*F33)</f>
        <v/>
      </c>
      <c r="G68" s="1143">
        <f>SUM(C68:F68)</f>
        <v/>
      </c>
      <c r="H68" s="1144">
        <f>SUM(G68/30)</f>
        <v/>
      </c>
      <c r="I68" s="302" t="n"/>
      <c r="J68" s="1145">
        <f>SUM($J$23*J33)</f>
        <v/>
      </c>
      <c r="K68" s="310" t="n"/>
      <c r="L68" s="310" t="n"/>
      <c r="M68" s="302" t="n"/>
      <c r="N68" s="302" t="n"/>
      <c r="O68" s="302" t="n"/>
      <c r="P68" s="302" t="n"/>
      <c r="Q68" s="302" t="n"/>
      <c r="R68" s="302" t="n"/>
      <c r="S68" s="302" t="n"/>
      <c r="T68" s="302" t="n"/>
      <c r="U68" s="302" t="n"/>
      <c r="V68" s="302" t="n"/>
      <c r="W68" s="302" t="n"/>
      <c r="X68" s="302" t="n"/>
      <c r="Y68" s="302" t="n"/>
      <c r="Z68" s="302" t="n"/>
      <c r="AA68" s="302" t="n"/>
      <c r="AB68" s="302" t="n"/>
      <c r="AC68" s="302" t="n"/>
      <c r="AD68" s="302" t="n"/>
      <c r="AE68" s="302" t="n"/>
      <c r="AF68" s="302" t="n"/>
      <c r="AG68" s="302" t="n"/>
      <c r="AH68" s="302" t="n"/>
      <c r="AI68" s="302" t="n"/>
    </row>
    <row r="69" ht="14.5" customHeight="1">
      <c r="A69" s="302" t="n"/>
      <c r="B69" s="146" t="n">
        <v>5</v>
      </c>
      <c r="C69" s="1115">
        <f>SUM($C$23*C34)</f>
        <v/>
      </c>
      <c r="D69" s="1146">
        <f>SUM($D$23*D34)</f>
        <v/>
      </c>
      <c r="E69" s="1147">
        <f>SUM($E$23*E34)</f>
        <v/>
      </c>
      <c r="F69" s="1148">
        <f>SUM($F$23*F34)</f>
        <v/>
      </c>
      <c r="G69" s="1149">
        <f>SUM(C69:F69)</f>
        <v/>
      </c>
      <c r="H69" s="1150">
        <f>SUM(G69/30)</f>
        <v/>
      </c>
      <c r="I69" s="302" t="n"/>
      <c r="J69" s="1145">
        <f>SUM($J$23*J34)</f>
        <v/>
      </c>
      <c r="K69" s="310" t="n"/>
      <c r="L69" s="310" t="n"/>
      <c r="M69" s="302" t="n"/>
      <c r="N69" s="302" t="n"/>
      <c r="O69" s="302" t="n"/>
      <c r="P69" s="302" t="n"/>
      <c r="Q69" s="302" t="n"/>
      <c r="R69" s="302" t="n"/>
      <c r="S69" s="302" t="n"/>
      <c r="T69" s="302" t="n"/>
      <c r="U69" s="302" t="n"/>
      <c r="V69" s="302" t="n"/>
      <c r="W69" s="302" t="n"/>
      <c r="X69" s="302" t="n"/>
      <c r="Y69" s="302" t="n"/>
      <c r="Z69" s="302" t="n"/>
      <c r="AA69" s="302" t="n"/>
      <c r="AB69" s="302" t="n"/>
      <c r="AC69" s="302" t="n"/>
      <c r="AD69" s="302" t="n"/>
      <c r="AE69" s="302" t="n"/>
      <c r="AF69" s="302" t="n"/>
      <c r="AG69" s="302" t="n"/>
      <c r="AH69" s="302" t="n"/>
      <c r="AI69" s="302" t="n"/>
    </row>
    <row r="70" ht="14.5" customHeight="1">
      <c r="A70" s="302" t="n"/>
      <c r="B70" s="144" t="n">
        <v>6</v>
      </c>
      <c r="C70" s="1115">
        <f>SUM($C$23*C35)</f>
        <v/>
      </c>
      <c r="D70" s="1140">
        <f>SUM($D$23*D35)</f>
        <v/>
      </c>
      <c r="E70" s="1141">
        <f>SUM($E$23*E35)</f>
        <v/>
      </c>
      <c r="F70" s="1142">
        <f>SUM($F$23*F35)</f>
        <v/>
      </c>
      <c r="G70" s="1143">
        <f>SUM(C70:F70)</f>
        <v/>
      </c>
      <c r="H70" s="1144">
        <f>SUM(G70/30)</f>
        <v/>
      </c>
      <c r="I70" s="302" t="n"/>
      <c r="J70" s="1145">
        <f>SUM($J$23*J35)</f>
        <v/>
      </c>
      <c r="K70" s="310" t="n"/>
      <c r="L70" s="310" t="n"/>
      <c r="M70" s="302" t="n"/>
      <c r="N70" s="302" t="n"/>
      <c r="O70" s="302" t="n"/>
      <c r="P70" s="302" t="n"/>
      <c r="Q70" s="302" t="n"/>
      <c r="R70" s="302" t="n"/>
      <c r="S70" s="302" t="n"/>
      <c r="T70" s="302" t="n"/>
      <c r="U70" s="302" t="n"/>
      <c r="V70" s="302" t="n"/>
      <c r="W70" s="302" t="n"/>
      <c r="X70" s="302" t="n"/>
      <c r="Y70" s="302" t="n"/>
      <c r="Z70" s="302" t="n"/>
      <c r="AA70" s="302" t="n"/>
      <c r="AB70" s="302" t="n"/>
      <c r="AC70" s="302" t="n"/>
      <c r="AD70" s="302" t="n"/>
      <c r="AE70" s="302" t="n"/>
      <c r="AF70" s="302" t="n"/>
      <c r="AG70" s="302" t="n"/>
      <c r="AH70" s="302" t="n"/>
      <c r="AI70" s="302" t="n"/>
    </row>
    <row r="71" ht="14.5" customHeight="1">
      <c r="A71" s="302" t="n"/>
      <c r="B71" s="146" t="n">
        <v>7</v>
      </c>
      <c r="C71" s="1115">
        <f>SUM($C$23*C36)</f>
        <v/>
      </c>
      <c r="D71" s="1146">
        <f>SUM($D$23*D36)</f>
        <v/>
      </c>
      <c r="E71" s="1147">
        <f>SUM($E$23*E36)</f>
        <v/>
      </c>
      <c r="F71" s="1148">
        <f>SUM($F$23*F36)</f>
        <v/>
      </c>
      <c r="G71" s="1149">
        <f>SUM(C71:F71)</f>
        <v/>
      </c>
      <c r="H71" s="1150">
        <f>SUM(G71/30)</f>
        <v/>
      </c>
      <c r="I71" s="302" t="n"/>
      <c r="J71" s="1145">
        <f>SUM($J$23*J36)</f>
        <v/>
      </c>
      <c r="K71" s="310" t="n"/>
      <c r="L71" s="310" t="n"/>
      <c r="M71" s="302" t="n"/>
      <c r="N71" s="302" t="n"/>
      <c r="O71" s="302" t="n"/>
      <c r="P71" s="302" t="n"/>
      <c r="Q71" s="302" t="n"/>
      <c r="R71" s="302" t="n"/>
      <c r="S71" s="302" t="n"/>
      <c r="T71" s="302" t="n"/>
      <c r="U71" s="302" t="n"/>
      <c r="V71" s="302" t="n"/>
      <c r="W71" s="302" t="n"/>
      <c r="X71" s="302" t="n"/>
      <c r="Y71" s="302" t="n"/>
      <c r="Z71" s="302" t="n"/>
      <c r="AA71" s="302" t="n"/>
      <c r="AB71" s="302" t="n"/>
      <c r="AC71" s="302" t="n"/>
      <c r="AD71" s="302" t="n"/>
      <c r="AE71" s="302" t="n"/>
      <c r="AF71" s="302" t="n"/>
      <c r="AG71" s="302" t="n"/>
      <c r="AH71" s="302" t="n"/>
      <c r="AI71" s="302" t="n"/>
    </row>
    <row r="72" ht="14.5" customHeight="1">
      <c r="A72" s="302" t="n"/>
      <c r="B72" s="144" t="n">
        <v>8</v>
      </c>
      <c r="C72" s="1115">
        <f>SUM($C$23*C37)</f>
        <v/>
      </c>
      <c r="D72" s="1140">
        <f>SUM($D$23*D37)</f>
        <v/>
      </c>
      <c r="E72" s="1141">
        <f>SUM($E$23*E37)</f>
        <v/>
      </c>
      <c r="F72" s="1142">
        <f>SUM($F$23*F37)</f>
        <v/>
      </c>
      <c r="G72" s="1143">
        <f>SUM(C72:F72)</f>
        <v/>
      </c>
      <c r="H72" s="1144">
        <f>SUM(G72/30)</f>
        <v/>
      </c>
      <c r="I72" s="302" t="n"/>
      <c r="J72" s="1145">
        <f>SUM($J$23*J37)</f>
        <v/>
      </c>
      <c r="K72" s="310" t="n"/>
      <c r="L72" s="310" t="n"/>
      <c r="M72" s="302" t="n"/>
      <c r="N72" s="302" t="n"/>
      <c r="O72" s="302" t="n"/>
      <c r="P72" s="302" t="n"/>
      <c r="Q72" s="302" t="n"/>
      <c r="R72" s="302" t="n"/>
      <c r="S72" s="302" t="n"/>
      <c r="T72" s="302" t="n"/>
      <c r="U72" s="302" t="n"/>
      <c r="V72" s="302" t="n"/>
      <c r="W72" s="302" t="n"/>
      <c r="X72" s="302" t="n"/>
      <c r="Y72" s="302" t="n"/>
      <c r="Z72" s="302" t="n"/>
      <c r="AA72" s="302" t="n"/>
      <c r="AB72" s="302" t="n"/>
      <c r="AC72" s="302" t="n"/>
      <c r="AD72" s="302" t="n"/>
      <c r="AE72" s="302" t="n"/>
      <c r="AF72" s="302" t="n"/>
      <c r="AG72" s="302" t="n"/>
      <c r="AH72" s="302" t="n"/>
      <c r="AI72" s="302" t="n"/>
    </row>
    <row r="73" ht="14.5" customHeight="1">
      <c r="A73" s="302" t="n"/>
      <c r="B73" s="146" t="n">
        <v>9</v>
      </c>
      <c r="C73" s="1115">
        <f>SUM($C$23*C38)</f>
        <v/>
      </c>
      <c r="D73" s="1146">
        <f>SUM($D$23*D38)</f>
        <v/>
      </c>
      <c r="E73" s="1147">
        <f>SUM($E$23*E38)</f>
        <v/>
      </c>
      <c r="F73" s="1148">
        <f>SUM($F$23*F38)</f>
        <v/>
      </c>
      <c r="G73" s="1149">
        <f>SUM(C73:F73)</f>
        <v/>
      </c>
      <c r="H73" s="1150">
        <f>SUM(G73/30)</f>
        <v/>
      </c>
      <c r="I73" s="302" t="n"/>
      <c r="J73" s="1145">
        <f>SUM($J$23*J38)</f>
        <v/>
      </c>
      <c r="K73" s="310" t="n"/>
      <c r="L73" s="310" t="n"/>
      <c r="M73" s="302" t="n"/>
      <c r="N73" s="302" t="n"/>
      <c r="O73" s="302" t="n"/>
      <c r="P73" s="302" t="n"/>
      <c r="Q73" s="302" t="n"/>
      <c r="R73" s="302" t="n"/>
      <c r="S73" s="302" t="n"/>
      <c r="T73" s="302" t="n"/>
      <c r="U73" s="302" t="n"/>
      <c r="V73" s="302" t="n"/>
      <c r="W73" s="302" t="n"/>
      <c r="X73" s="302" t="n"/>
      <c r="Y73" s="302" t="n"/>
      <c r="Z73" s="302" t="n"/>
      <c r="AA73" s="302" t="n"/>
      <c r="AB73" s="302" t="n"/>
      <c r="AC73" s="302" t="n"/>
      <c r="AD73" s="302" t="n"/>
      <c r="AE73" s="302" t="n"/>
      <c r="AF73" s="302" t="n"/>
      <c r="AG73" s="302" t="n"/>
      <c r="AH73" s="302" t="n"/>
      <c r="AI73" s="302" t="n"/>
    </row>
    <row r="74" ht="14.5" customHeight="1">
      <c r="A74" s="302" t="n"/>
      <c r="B74" s="144" t="n">
        <v>10</v>
      </c>
      <c r="C74" s="1115">
        <f>SUM($C$23*C39)</f>
        <v/>
      </c>
      <c r="D74" s="1140">
        <f>SUM($D$23*D39)</f>
        <v/>
      </c>
      <c r="E74" s="1141">
        <f>SUM($E$23*E39)</f>
        <v/>
      </c>
      <c r="F74" s="1142">
        <f>SUM($F$23*F39)</f>
        <v/>
      </c>
      <c r="G74" s="1143">
        <f>SUM(C74:F74)</f>
        <v/>
      </c>
      <c r="H74" s="1144">
        <f>SUM(G74/30)</f>
        <v/>
      </c>
      <c r="I74" s="302" t="n"/>
      <c r="J74" s="1145">
        <f>SUM($J$23*J39)</f>
        <v/>
      </c>
      <c r="K74" s="310" t="n"/>
      <c r="L74" s="310" t="n"/>
      <c r="M74" s="302" t="n"/>
      <c r="N74" s="302" t="n"/>
      <c r="O74" s="302" t="n"/>
      <c r="P74" s="302" t="n"/>
      <c r="Q74" s="302" t="n"/>
      <c r="R74" s="302" t="n"/>
      <c r="S74" s="302" t="n"/>
      <c r="T74" s="302" t="n"/>
      <c r="U74" s="302" t="n"/>
      <c r="V74" s="302" t="n"/>
      <c r="W74" s="302" t="n"/>
      <c r="X74" s="302" t="n"/>
      <c r="Y74" s="302" t="n"/>
      <c r="Z74" s="302" t="n"/>
      <c r="AA74" s="302" t="n"/>
      <c r="AB74" s="302" t="n"/>
      <c r="AC74" s="302" t="n"/>
      <c r="AD74" s="302" t="n"/>
      <c r="AE74" s="302" t="n"/>
      <c r="AF74" s="302" t="n"/>
      <c r="AG74" s="302" t="n"/>
      <c r="AH74" s="302" t="n"/>
      <c r="AI74" s="302" t="n"/>
    </row>
    <row r="75" ht="14.5" customHeight="1">
      <c r="A75" s="302" t="n"/>
      <c r="B75" s="144" t="n">
        <v>11</v>
      </c>
      <c r="C75" s="1115">
        <f>SUM($C$23*C40)</f>
        <v/>
      </c>
      <c r="D75" s="1140">
        <f>SUM($D$23*D40)</f>
        <v/>
      </c>
      <c r="E75" s="1141">
        <f>SUM($E$23*E40)</f>
        <v/>
      </c>
      <c r="F75" s="1142">
        <f>SUM($F$23*F40)</f>
        <v/>
      </c>
      <c r="G75" s="1143">
        <f>SUM(C75:F75)</f>
        <v/>
      </c>
      <c r="H75" s="1144">
        <f>SUM(G75/30)</f>
        <v/>
      </c>
      <c r="I75" s="302" t="n"/>
      <c r="J75" s="1145">
        <f>SUM($J$23*J40)</f>
        <v/>
      </c>
      <c r="K75" s="310" t="n"/>
      <c r="L75" s="310" t="n"/>
      <c r="M75" s="302" t="n"/>
      <c r="N75" s="302" t="n"/>
      <c r="O75" s="302" t="n"/>
      <c r="P75" s="302" t="n"/>
      <c r="Q75" s="302" t="n"/>
      <c r="R75" s="302" t="n"/>
      <c r="S75" s="302" t="n"/>
      <c r="T75" s="302" t="n"/>
      <c r="U75" s="302" t="n"/>
      <c r="V75" s="302" t="n"/>
      <c r="W75" s="302" t="n"/>
      <c r="X75" s="302" t="n"/>
      <c r="Y75" s="302" t="n"/>
      <c r="Z75" s="302" t="n"/>
      <c r="AA75" s="302" t="n"/>
      <c r="AB75" s="302" t="n"/>
      <c r="AC75" s="302" t="n"/>
      <c r="AD75" s="302" t="n"/>
      <c r="AE75" s="302" t="n"/>
      <c r="AF75" s="302" t="n"/>
      <c r="AG75" s="302" t="n"/>
      <c r="AH75" s="302" t="n"/>
      <c r="AI75" s="302" t="n"/>
    </row>
    <row r="76" ht="15" customFormat="1" customHeight="1" s="240" thickBot="1">
      <c r="A76" s="302" t="n"/>
      <c r="B76" s="147" t="n">
        <v>12</v>
      </c>
      <c r="C76" s="1115">
        <f>SUM($C$23*C41)</f>
        <v/>
      </c>
      <c r="D76" s="1151">
        <f>SUM($D$23*D41)</f>
        <v/>
      </c>
      <c r="E76" s="1152">
        <f>SUM($E$23*E41)</f>
        <v/>
      </c>
      <c r="F76" s="1153">
        <f>SUM($F$23*F41)</f>
        <v/>
      </c>
      <c r="G76" s="1154">
        <f>SUM(C76:F76)</f>
        <v/>
      </c>
      <c r="H76" s="1155">
        <f>SUM(G76/30)</f>
        <v/>
      </c>
      <c r="I76" s="302" t="n"/>
      <c r="J76" s="1145">
        <f>SUM($J$23*J41)</f>
        <v/>
      </c>
      <c r="K76" s="310" t="n"/>
      <c r="L76" s="310" t="n"/>
      <c r="M76" s="302" t="n"/>
      <c r="N76" s="302" t="n"/>
      <c r="O76" s="302" t="n"/>
      <c r="P76" s="302" t="n"/>
      <c r="Q76" s="302" t="n"/>
      <c r="R76" s="302" t="n"/>
      <c r="S76" s="302" t="n"/>
      <c r="T76" s="302" t="n"/>
      <c r="U76" s="302" t="n"/>
      <c r="V76" s="302" t="n"/>
      <c r="W76" s="302" t="n"/>
      <c r="X76" s="302" t="n"/>
      <c r="Y76" s="302" t="n"/>
      <c r="Z76" s="302" t="n"/>
      <c r="AA76" s="302" t="n"/>
      <c r="AB76" s="302" t="n"/>
      <c r="AC76" s="302" t="n"/>
      <c r="AD76" s="302" t="n"/>
      <c r="AE76" s="302" t="n"/>
      <c r="AF76" s="302" t="n"/>
      <c r="AG76" s="302" t="n"/>
      <c r="AH76" s="302" t="n"/>
      <c r="AI76" s="302" t="n"/>
    </row>
    <row r="77" customFormat="1" s="240">
      <c r="A77" s="302" t="n"/>
      <c r="B77" s="302" t="n"/>
      <c r="C77" s="302" t="n"/>
      <c r="D77" s="302" t="n"/>
      <c r="E77" s="302" t="n"/>
      <c r="F77" s="302" t="n"/>
      <c r="G77" s="302" t="n"/>
      <c r="H77" s="302" t="n"/>
      <c r="I77" s="302" t="n"/>
      <c r="J77" s="302" t="n"/>
      <c r="K77" s="310" t="n"/>
      <c r="L77" s="310" t="n"/>
      <c r="M77" s="302" t="n"/>
      <c r="N77" s="302" t="n"/>
      <c r="O77" s="302" t="n"/>
      <c r="P77" s="302" t="n"/>
      <c r="Q77" s="302" t="n"/>
      <c r="R77" s="302" t="n"/>
      <c r="S77" s="302" t="n"/>
      <c r="T77" s="302" t="n"/>
      <c r="U77" s="302" t="n"/>
      <c r="V77" s="302" t="n"/>
      <c r="W77" s="302" t="n"/>
      <c r="X77" s="302" t="n"/>
      <c r="Y77" s="302" t="n"/>
      <c r="Z77" s="302" t="n"/>
      <c r="AA77" s="302" t="n"/>
      <c r="AB77" s="302" t="n"/>
      <c r="AC77" s="302" t="n"/>
      <c r="AD77" s="302" t="n"/>
      <c r="AE77" s="302" t="n"/>
      <c r="AF77" s="302" t="n"/>
      <c r="AG77" s="302" t="n"/>
      <c r="AH77" s="302" t="n"/>
      <c r="AI77" s="302" t="n"/>
    </row>
    <row r="78" customFormat="1" s="240">
      <c r="A78" s="302" t="n"/>
      <c r="B78" s="302" t="inlineStr">
        <is>
          <t>Sales ramp from 25 units/month at launch (June 2026) to 465 units/month by Month 12. Products 3+4 show total subscription payments per month (not new sign-ups). Subscriptions start 1 month after first kit purchase, 7% monthly churn applied. Active subscribers at Month 12: 243 GROUND + 162 RITUAL = 405 total. Kit split 60% GROUND / 40% RITUAL. Jan 2027 kit sales dip slightly for seasonality. Year 1 total revenue: £147,496.</t>
        </is>
      </c>
      <c r="C78" s="302" t="n"/>
      <c r="D78" s="302" t="n"/>
      <c r="E78" s="302" t="n"/>
      <c r="F78" s="302" t="n"/>
      <c r="G78" s="302" t="n"/>
      <c r="H78" s="302" t="n"/>
      <c r="I78" s="302" t="n"/>
      <c r="J78" s="302" t="n"/>
      <c r="K78" s="310" t="n"/>
      <c r="L78" s="310" t="n"/>
      <c r="M78" s="302" t="n"/>
      <c r="N78" s="302" t="n"/>
      <c r="O78" s="302" t="n"/>
      <c r="P78" s="302" t="n"/>
      <c r="Q78" s="302" t="n"/>
      <c r="R78" s="302" t="n"/>
      <c r="S78" s="302" t="n"/>
      <c r="T78" s="302" t="n"/>
      <c r="U78" s="302" t="n"/>
      <c r="V78" s="302" t="n"/>
      <c r="W78" s="302" t="n"/>
      <c r="X78" s="302" t="n"/>
      <c r="Y78" s="302" t="n"/>
      <c r="Z78" s="302" t="n"/>
      <c r="AA78" s="302" t="n"/>
      <c r="AB78" s="302" t="n"/>
      <c r="AC78" s="302" t="n"/>
      <c r="AD78" s="302" t="n"/>
      <c r="AE78" s="302" t="n"/>
      <c r="AF78" s="302" t="n"/>
      <c r="AG78" s="302" t="n"/>
      <c r="AH78" s="302" t="n"/>
      <c r="AI78" s="302" t="n"/>
    </row>
    <row r="79" customFormat="1" s="240">
      <c r="A79" s="302" t="n"/>
      <c r="B79" s="302" t="n"/>
      <c r="C79" s="302" t="n"/>
      <c r="D79" s="302" t="n"/>
      <c r="E79" s="302" t="n"/>
      <c r="F79" s="302" t="n"/>
      <c r="G79" s="302" t="n"/>
      <c r="H79" s="302" t="n"/>
      <c r="I79" s="302" t="n"/>
      <c r="J79" s="302" t="n"/>
      <c r="K79" s="310" t="n"/>
      <c r="L79" s="310" t="n"/>
      <c r="M79" s="302" t="n"/>
      <c r="N79" s="302" t="n"/>
      <c r="O79" s="302" t="n"/>
      <c r="P79" s="302" t="n"/>
      <c r="Q79" s="302" t="n"/>
      <c r="R79" s="302" t="n"/>
      <c r="S79" s="302" t="n"/>
      <c r="T79" s="302" t="n"/>
      <c r="U79" s="302" t="n"/>
      <c r="V79" s="302" t="n"/>
      <c r="W79" s="302" t="n"/>
      <c r="X79" s="302" t="n"/>
      <c r="Y79" s="302" t="n"/>
      <c r="Z79" s="302" t="n"/>
      <c r="AA79" s="302" t="n"/>
      <c r="AB79" s="302" t="n"/>
      <c r="AC79" s="302" t="n"/>
      <c r="AD79" s="302" t="n"/>
      <c r="AE79" s="302" t="n"/>
      <c r="AF79" s="302" t="n"/>
      <c r="AG79" s="302" t="n"/>
      <c r="AH79" s="302" t="n"/>
      <c r="AI79" s="302" t="n"/>
    </row>
    <row r="80" ht="14.5" customFormat="1" customHeight="1" s="240" thickBot="1">
      <c r="A80" s="302" t="n"/>
      <c r="B80" s="302" t="n"/>
      <c r="C80" s="302" t="n"/>
      <c r="D80" s="302" t="n"/>
      <c r="E80" s="302" t="n"/>
      <c r="F80" s="302" t="n"/>
      <c r="G80" s="302" t="n"/>
      <c r="H80" s="302" t="n"/>
      <c r="I80" s="302" t="n"/>
      <c r="J80" s="302" t="n"/>
      <c r="K80" s="310" t="n"/>
      <c r="L80" s="310" t="n"/>
      <c r="M80" s="302" t="n"/>
      <c r="N80" s="302" t="n"/>
      <c r="O80" s="302" t="n"/>
      <c r="P80" s="302" t="n"/>
      <c r="Q80" s="302" t="n"/>
      <c r="R80" s="302" t="n"/>
      <c r="S80" s="302" t="n"/>
      <c r="T80" s="302" t="n"/>
      <c r="U80" s="302" t="n"/>
      <c r="V80" s="302" t="n"/>
      <c r="W80" s="302" t="n"/>
      <c r="X80" s="302" t="n"/>
      <c r="Y80" s="302" t="n"/>
      <c r="Z80" s="302" t="n"/>
      <c r="AA80" s="302" t="n"/>
      <c r="AB80" s="302" t="n"/>
      <c r="AC80" s="302" t="n"/>
      <c r="AD80" s="302" t="n"/>
      <c r="AE80" s="302" t="n"/>
      <c r="AF80" s="302" t="n"/>
      <c r="AG80" s="302" t="n"/>
      <c r="AH80" s="302" t="n"/>
      <c r="AI80" s="302" t="n"/>
    </row>
    <row r="81" ht="18.5" customFormat="1" customHeight="1" s="240" thickBot="1">
      <c r="A81" s="302" t="n"/>
      <c r="B81" s="1156" t="inlineStr">
        <is>
          <t>Your notes or commentary</t>
        </is>
      </c>
      <c r="C81" s="949" t="n"/>
      <c r="D81" s="949" t="n"/>
      <c r="E81" s="949" t="n"/>
      <c r="F81" s="949" t="n"/>
      <c r="G81" s="949" t="n"/>
      <c r="H81" s="949" t="n"/>
      <c r="I81" s="949" t="n"/>
      <c r="J81" s="949" t="n"/>
      <c r="K81" s="949" t="n"/>
      <c r="L81" s="950" t="n"/>
      <c r="M81" s="302" t="n"/>
      <c r="N81" s="302" t="n"/>
      <c r="O81" s="302" t="n"/>
      <c r="P81" s="302" t="n"/>
      <c r="Q81" s="302" t="n"/>
      <c r="R81" s="302" t="n"/>
      <c r="S81" s="302" t="n"/>
    </row>
    <row r="82" ht="14.5" customFormat="1" customHeight="1" s="240" thickBot="1">
      <c r="A82" s="302" t="n"/>
      <c r="B82" s="1157" t="inlineStr">
        <is>
          <t>Use this space to explain any of the information you have provided in the fields above.</t>
        </is>
      </c>
      <c r="C82" s="949" t="n"/>
      <c r="D82" s="949" t="n"/>
      <c r="E82" s="949" t="n"/>
      <c r="F82" s="949" t="n"/>
      <c r="G82" s="949" t="n"/>
      <c r="H82" s="949" t="n"/>
      <c r="I82" s="949" t="n"/>
      <c r="J82" s="949" t="n"/>
      <c r="K82" s="949" t="n"/>
      <c r="L82" s="950" t="n"/>
      <c r="M82" s="302" t="n"/>
      <c r="N82" s="302" t="n"/>
      <c r="O82" s="302" t="n"/>
      <c r="P82" s="302" t="n"/>
      <c r="Q82" s="302" t="n"/>
      <c r="R82" s="302" t="n"/>
      <c r="S82" s="302" t="n"/>
    </row>
    <row r="83" ht="15" customFormat="1" customHeight="1" s="240">
      <c r="A83" s="302" t="n"/>
      <c r="B83" s="1158" t="n"/>
      <c r="C83" s="936" t="n"/>
      <c r="D83" s="936" t="n"/>
      <c r="E83" s="936" t="n"/>
      <c r="F83" s="936" t="n"/>
      <c r="G83" s="936" t="n"/>
      <c r="H83" s="936" t="n"/>
      <c r="I83" s="936" t="n"/>
      <c r="J83" s="936" t="n"/>
      <c r="K83" s="936" t="n"/>
      <c r="L83" s="937" t="n"/>
      <c r="M83" s="302" t="n"/>
      <c r="N83" s="302" t="n"/>
      <c r="O83" s="302" t="n"/>
      <c r="P83" s="302" t="n"/>
      <c r="Q83" s="302" t="n"/>
      <c r="R83" s="302" t="n"/>
      <c r="S83" s="302" t="n"/>
    </row>
    <row r="84" customFormat="1" s="240">
      <c r="A84" s="302" t="n"/>
      <c r="B84" s="939" t="n"/>
      <c r="C84" s="914" t="n"/>
      <c r="D84" s="914" t="n"/>
      <c r="E84" s="914" t="n"/>
      <c r="F84" s="914" t="n"/>
      <c r="G84" s="914" t="n"/>
      <c r="H84" s="914" t="n"/>
      <c r="I84" s="914" t="n"/>
      <c r="J84" s="914" t="n"/>
      <c r="K84" s="914" t="n"/>
      <c r="L84" s="940" t="n"/>
      <c r="M84" s="302" t="n"/>
      <c r="N84" s="302" t="n"/>
      <c r="O84" s="302" t="n"/>
      <c r="P84" s="302" t="n"/>
      <c r="Q84" s="302" t="n"/>
      <c r="R84" s="302" t="n"/>
      <c r="S84" s="302" t="n"/>
    </row>
    <row r="85" customFormat="1" s="240">
      <c r="A85" s="302" t="n"/>
      <c r="B85" s="939" t="n"/>
      <c r="C85" s="914" t="n"/>
      <c r="D85" s="914" t="n"/>
      <c r="E85" s="914" t="n"/>
      <c r="F85" s="914" t="n"/>
      <c r="G85" s="914" t="n"/>
      <c r="H85" s="914" t="n"/>
      <c r="I85" s="914" t="n"/>
      <c r="J85" s="914" t="n"/>
      <c r="K85" s="914" t="n"/>
      <c r="L85" s="940" t="n"/>
      <c r="M85" s="302" t="n"/>
      <c r="N85" s="302" t="n"/>
      <c r="O85" s="302" t="n"/>
      <c r="P85" s="302" t="n"/>
      <c r="Q85" s="302" t="n"/>
      <c r="R85" s="302" t="n"/>
      <c r="S85" s="302" t="n"/>
    </row>
    <row r="86" customFormat="1" s="240">
      <c r="A86" s="302" t="n"/>
      <c r="B86" s="939" t="n"/>
      <c r="C86" s="914" t="n"/>
      <c r="D86" s="914" t="n"/>
      <c r="E86" s="914" t="n"/>
      <c r="F86" s="914" t="n"/>
      <c r="G86" s="914" t="n"/>
      <c r="H86" s="914" t="n"/>
      <c r="I86" s="914" t="n"/>
      <c r="J86" s="914" t="n"/>
      <c r="K86" s="914" t="n"/>
      <c r="L86" s="940" t="n"/>
      <c r="M86" s="302" t="n"/>
      <c r="N86" s="302" t="n"/>
      <c r="O86" s="302" t="n"/>
      <c r="P86" s="302" t="n"/>
      <c r="Q86" s="302" t="n"/>
      <c r="R86" s="302" t="n"/>
      <c r="S86" s="302" t="n"/>
    </row>
    <row r="87" customFormat="1" s="240">
      <c r="A87" s="302" t="n"/>
      <c r="B87" s="939" t="n"/>
      <c r="C87" s="914" t="n"/>
      <c r="D87" s="914" t="n"/>
      <c r="E87" s="914" t="n"/>
      <c r="F87" s="914" t="n"/>
      <c r="G87" s="914" t="n"/>
      <c r="H87" s="914" t="n"/>
      <c r="I87" s="914" t="n"/>
      <c r="J87" s="914" t="n"/>
      <c r="K87" s="914" t="n"/>
      <c r="L87" s="940" t="n"/>
      <c r="M87" s="302" t="n"/>
      <c r="N87" s="302" t="n"/>
      <c r="O87" s="302" t="n"/>
      <c r="P87" s="302" t="n"/>
      <c r="Q87" s="302" t="n"/>
      <c r="R87" s="302" t="n"/>
      <c r="S87" s="302" t="n"/>
    </row>
    <row r="88" customFormat="1" s="240">
      <c r="A88" s="302" t="n"/>
      <c r="B88" s="939" t="n"/>
      <c r="C88" s="914" t="n"/>
      <c r="D88" s="914" t="n"/>
      <c r="E88" s="914" t="n"/>
      <c r="F88" s="914" t="n"/>
      <c r="G88" s="914" t="n"/>
      <c r="H88" s="914" t="n"/>
      <c r="I88" s="914" t="n"/>
      <c r="J88" s="914" t="n"/>
      <c r="K88" s="914" t="n"/>
      <c r="L88" s="940" t="n"/>
      <c r="M88" s="302" t="n"/>
      <c r="N88" s="302" t="n"/>
      <c r="O88" s="302" t="n"/>
      <c r="P88" s="302" t="n"/>
      <c r="Q88" s="302" t="n"/>
      <c r="R88" s="302" t="n"/>
      <c r="S88" s="302" t="n"/>
    </row>
    <row r="89" customFormat="1" s="240">
      <c r="A89" s="302" t="n"/>
      <c r="B89" s="939" t="n"/>
      <c r="C89" s="914" t="n"/>
      <c r="D89" s="914" t="n"/>
      <c r="E89" s="914" t="n"/>
      <c r="F89" s="914" t="n"/>
      <c r="G89" s="914" t="n"/>
      <c r="H89" s="914" t="n"/>
      <c r="I89" s="914" t="n"/>
      <c r="J89" s="914" t="n"/>
      <c r="K89" s="914" t="n"/>
      <c r="L89" s="940" t="n"/>
      <c r="M89" s="302" t="n"/>
      <c r="N89" s="302" t="n"/>
      <c r="O89" s="302" t="n"/>
      <c r="P89" s="302" t="n"/>
      <c r="Q89" s="302" t="n"/>
      <c r="R89" s="302" t="n"/>
      <c r="S89" s="302" t="n"/>
    </row>
    <row r="90" customFormat="1" s="240">
      <c r="A90" s="302" t="n"/>
      <c r="B90" s="939" t="n"/>
      <c r="C90" s="914" t="n"/>
      <c r="D90" s="914" t="n"/>
      <c r="E90" s="914" t="n"/>
      <c r="F90" s="914" t="n"/>
      <c r="G90" s="914" t="n"/>
      <c r="H90" s="914" t="n"/>
      <c r="I90" s="914" t="n"/>
      <c r="J90" s="914" t="n"/>
      <c r="K90" s="914" t="n"/>
      <c r="L90" s="940" t="n"/>
      <c r="M90" s="302" t="n"/>
      <c r="N90" s="302" t="n"/>
      <c r="O90" s="302" t="n"/>
      <c r="P90" s="302" t="n"/>
      <c r="Q90" s="302" t="n"/>
      <c r="R90" s="302" t="n"/>
      <c r="S90" s="302" t="n"/>
    </row>
    <row r="91" customFormat="1" s="240">
      <c r="A91" s="302" t="n"/>
      <c r="B91" s="939" t="n"/>
      <c r="C91" s="914" t="n"/>
      <c r="D91" s="914" t="n"/>
      <c r="E91" s="914" t="n"/>
      <c r="F91" s="914" t="n"/>
      <c r="G91" s="914" t="n"/>
      <c r="H91" s="914" t="n"/>
      <c r="I91" s="914" t="n"/>
      <c r="J91" s="914" t="n"/>
      <c r="K91" s="914" t="n"/>
      <c r="L91" s="940" t="n"/>
      <c r="M91" s="302" t="n"/>
      <c r="N91" s="302" t="n"/>
      <c r="O91" s="302" t="n"/>
      <c r="P91" s="302" t="n"/>
      <c r="Q91" s="302" t="n"/>
      <c r="R91" s="302" t="n"/>
      <c r="S91" s="302" t="n"/>
    </row>
    <row r="92" ht="14.5" customFormat="1" customHeight="1" s="240" thickBot="1">
      <c r="A92" s="302" t="n"/>
      <c r="B92" s="941" t="n"/>
      <c r="C92" s="942" t="n"/>
      <c r="D92" s="942" t="n"/>
      <c r="E92" s="942" t="n"/>
      <c r="F92" s="942" t="n"/>
      <c r="G92" s="942" t="n"/>
      <c r="H92" s="942" t="n"/>
      <c r="I92" s="942" t="n"/>
      <c r="J92" s="942" t="n"/>
      <c r="K92" s="942" t="n"/>
      <c r="L92" s="943" t="n"/>
      <c r="M92" s="302" t="n"/>
      <c r="N92" s="302" t="n"/>
      <c r="O92" s="302" t="n"/>
      <c r="P92" s="302" t="n"/>
      <c r="Q92" s="302" t="n"/>
      <c r="R92" s="302" t="n"/>
      <c r="S92" s="302" t="n"/>
    </row>
    <row r="93" customFormat="1" s="240">
      <c r="A93" s="302" t="n"/>
      <c r="B93" s="302" t="n"/>
      <c r="C93" s="302" t="n"/>
      <c r="D93" s="302" t="n"/>
      <c r="E93" s="302" t="n"/>
      <c r="F93" s="302" t="n"/>
      <c r="G93" s="302" t="n"/>
      <c r="H93" s="302" t="n"/>
      <c r="I93" s="302" t="n"/>
      <c r="J93" s="302" t="n"/>
      <c r="K93" s="302" t="n"/>
      <c r="L93" s="302" t="n"/>
      <c r="M93" s="302" t="n"/>
      <c r="N93" s="302" t="n"/>
      <c r="O93" s="302" t="n"/>
      <c r="P93" s="302" t="n"/>
      <c r="Q93" s="302" t="n"/>
      <c r="R93" s="302" t="n"/>
      <c r="S93" s="302" t="n"/>
    </row>
    <row r="94" customFormat="1" s="240">
      <c r="A94" s="302" t="n"/>
      <c r="B94" s="302" t="n"/>
      <c r="C94" s="302" t="n"/>
      <c r="D94" s="302" t="n"/>
      <c r="E94" s="302" t="n"/>
      <c r="F94" s="302" t="n"/>
      <c r="G94" s="302" t="n"/>
      <c r="H94" s="302" t="n"/>
      <c r="I94" s="302" t="n"/>
      <c r="J94" s="302" t="n"/>
      <c r="K94" s="302" t="n"/>
      <c r="L94" s="302" t="n"/>
      <c r="M94" s="302" t="n"/>
      <c r="N94" s="302" t="n"/>
      <c r="O94" s="302" t="n"/>
      <c r="P94" s="302" t="n"/>
      <c r="Q94" s="302" t="n"/>
      <c r="R94" s="302" t="n"/>
      <c r="S94" s="302" t="n"/>
    </row>
    <row r="95" customFormat="1" s="240">
      <c r="A95" s="302" t="n"/>
      <c r="B95" s="302" t="n"/>
      <c r="C95" s="302" t="n"/>
      <c r="D95" s="302" t="n"/>
      <c r="E95" s="302" t="n"/>
      <c r="F95" s="302" t="n"/>
      <c r="G95" s="302" t="n"/>
      <c r="H95" s="302" t="n"/>
      <c r="I95" s="302" t="n"/>
      <c r="J95" s="302" t="n"/>
      <c r="K95" s="310" t="n"/>
      <c r="L95" s="310" t="n"/>
      <c r="M95" s="302" t="n"/>
      <c r="N95" s="302" t="n"/>
      <c r="O95" s="302" t="n"/>
      <c r="P95" s="302" t="n"/>
      <c r="Q95" s="302" t="n"/>
      <c r="R95" s="302" t="n"/>
      <c r="S95" s="302" t="n"/>
    </row>
    <row r="96" customFormat="1" s="240">
      <c r="A96" s="302" t="n"/>
      <c r="B96" s="302" t="n"/>
      <c r="C96" s="302" t="n"/>
      <c r="D96" s="302" t="n"/>
      <c r="E96" s="302" t="n"/>
      <c r="F96" s="302" t="n"/>
      <c r="G96" s="302" t="n"/>
      <c r="H96" s="302" t="n"/>
      <c r="I96" s="302" t="n"/>
      <c r="J96" s="302" t="n"/>
      <c r="K96" s="310" t="n"/>
      <c r="L96" s="310" t="n"/>
      <c r="M96" s="302" t="n"/>
      <c r="N96" s="302" t="n"/>
      <c r="O96" s="302" t="n"/>
      <c r="P96" s="302" t="n"/>
      <c r="Q96" s="302" t="n"/>
      <c r="R96" s="302" t="n"/>
      <c r="S96" s="302" t="n"/>
    </row>
    <row r="97" customFormat="1" s="240">
      <c r="A97" s="302" t="n"/>
      <c r="B97" s="302" t="n"/>
      <c r="C97" s="302" t="n"/>
      <c r="D97" s="302" t="n"/>
      <c r="E97" s="302" t="n"/>
      <c r="F97" s="302" t="n"/>
      <c r="G97" s="302" t="n"/>
      <c r="H97" s="302" t="n"/>
      <c r="I97" s="302" t="n"/>
      <c r="J97" s="302" t="n"/>
      <c r="K97" s="310" t="n"/>
      <c r="L97" s="310" t="n"/>
      <c r="M97" s="302" t="n"/>
    </row>
    <row r="98" customFormat="1" s="240">
      <c r="A98" s="302" t="n"/>
      <c r="B98" s="302" t="n"/>
      <c r="C98" s="302" t="n"/>
      <c r="D98" s="302" t="n"/>
      <c r="E98" s="302" t="n"/>
      <c r="F98" s="302" t="n"/>
      <c r="G98" s="302" t="n"/>
      <c r="H98" s="302" t="n"/>
      <c r="I98" s="302" t="n"/>
      <c r="J98" s="302" t="n"/>
      <c r="K98" s="310" t="n"/>
      <c r="L98" s="310" t="n"/>
      <c r="M98" s="302" t="n"/>
    </row>
    <row r="99" customFormat="1" s="240">
      <c r="A99" s="302" t="n"/>
      <c r="B99" s="302" t="n"/>
      <c r="C99" s="302" t="n"/>
      <c r="D99" s="302" t="n"/>
      <c r="E99" s="302" t="n"/>
      <c r="F99" s="302" t="n"/>
      <c r="G99" s="302" t="n"/>
      <c r="H99" s="302" t="n"/>
      <c r="I99" s="302" t="n"/>
      <c r="J99" s="302" t="n"/>
      <c r="K99" s="310" t="n"/>
      <c r="L99" s="310" t="n"/>
      <c r="M99" s="302" t="n"/>
    </row>
    <row r="100" customFormat="1" s="240">
      <c r="A100" s="302" t="n"/>
      <c r="B100" s="302" t="n"/>
      <c r="C100" s="302" t="n"/>
      <c r="D100" s="302" t="n"/>
      <c r="E100" s="302" t="n"/>
      <c r="F100" s="302" t="n"/>
      <c r="G100" s="302" t="n"/>
      <c r="H100" s="302" t="n"/>
      <c r="I100" s="302" t="n"/>
      <c r="J100" s="302" t="n"/>
      <c r="K100" s="310" t="n"/>
      <c r="L100" s="310" t="n"/>
      <c r="M100" s="302" t="n"/>
    </row>
    <row r="101" customFormat="1" s="240">
      <c r="A101" s="302" t="n"/>
      <c r="B101" s="302" t="n"/>
      <c r="C101" s="302" t="n"/>
      <c r="D101" s="302" t="n"/>
      <c r="E101" s="302" t="n"/>
      <c r="F101" s="302" t="n"/>
      <c r="G101" s="302" t="n"/>
      <c r="H101" s="302" t="n"/>
      <c r="I101" s="302" t="n"/>
      <c r="J101" s="302" t="n"/>
      <c r="K101" s="310" t="n"/>
      <c r="L101" s="310" t="n"/>
      <c r="M101" s="302" t="n"/>
    </row>
    <row r="102">
      <c r="A102" s="302" t="n"/>
      <c r="B102" s="292" t="n"/>
      <c r="C102" s="292" t="n"/>
      <c r="D102" s="292" t="n"/>
      <c r="E102" s="292" t="n"/>
      <c r="F102" s="292" t="n"/>
      <c r="G102" s="292" t="n"/>
      <c r="H102" s="292" t="n"/>
      <c r="I102" s="302" t="n"/>
      <c r="J102" s="302" t="n"/>
      <c r="K102" s="310" t="n"/>
      <c r="L102" s="310" t="n"/>
      <c r="M102" s="302" t="n"/>
    </row>
    <row r="103">
      <c r="A103" s="302" t="n"/>
      <c r="B103" s="292" t="n"/>
      <c r="C103" s="292" t="n"/>
      <c r="D103" s="292" t="n"/>
      <c r="E103" s="292" t="n"/>
      <c r="F103" s="292" t="n"/>
      <c r="G103" s="292" t="n"/>
      <c r="H103" s="292" t="n"/>
      <c r="I103" s="302" t="n"/>
      <c r="J103" s="302" t="n"/>
      <c r="K103" s="310" t="n"/>
      <c r="L103" s="310" t="n"/>
      <c r="M103" s="302" t="n"/>
    </row>
    <row r="104">
      <c r="A104" s="302" t="n"/>
      <c r="B104" s="292" t="n"/>
      <c r="C104" s="292" t="n"/>
      <c r="D104" s="292" t="n"/>
      <c r="E104" s="292" t="n"/>
      <c r="F104" s="292" t="n"/>
      <c r="G104" s="292" t="n"/>
      <c r="H104" s="292" t="n"/>
      <c r="I104" s="302" t="n"/>
      <c r="J104" s="302" t="n"/>
      <c r="K104" s="310" t="n"/>
      <c r="L104" s="310" t="n"/>
      <c r="M104" s="302" t="n"/>
    </row>
    <row r="105">
      <c r="A105" s="302" t="n"/>
      <c r="B105" s="292" t="n"/>
      <c r="C105" s="292" t="n"/>
      <c r="D105" s="292" t="n"/>
      <c r="E105" s="292" t="n"/>
      <c r="F105" s="292" t="n"/>
      <c r="G105" s="292" t="n"/>
      <c r="H105" s="292" t="n"/>
      <c r="I105" s="302" t="n"/>
      <c r="J105" s="302" t="n"/>
      <c r="K105" s="310" t="n"/>
      <c r="L105" s="310" t="n"/>
      <c r="M105" s="302" t="n"/>
    </row>
    <row r="106">
      <c r="A106" s="302" t="n"/>
      <c r="B106" s="292" t="n"/>
      <c r="C106" s="292" t="n"/>
      <c r="D106" s="292" t="n"/>
      <c r="E106" s="292" t="n"/>
      <c r="F106" s="292" t="n"/>
      <c r="G106" s="292" t="n"/>
      <c r="H106" s="292" t="n"/>
      <c r="I106" s="302" t="n"/>
      <c r="J106" s="302" t="n"/>
      <c r="K106" s="310" t="n"/>
      <c r="L106" s="310" t="n"/>
      <c r="M106" s="302" t="n"/>
    </row>
    <row r="107">
      <c r="A107" s="302" t="n"/>
      <c r="B107" s="292" t="n"/>
      <c r="C107" s="292" t="n"/>
      <c r="D107" s="292" t="n"/>
      <c r="E107" s="292" t="n"/>
      <c r="F107" s="292" t="n"/>
      <c r="G107" s="292" t="n"/>
      <c r="H107" s="292" t="n"/>
      <c r="I107" s="302" t="n"/>
      <c r="J107" s="302" t="n"/>
      <c r="K107" s="310" t="n"/>
      <c r="L107" s="310" t="n"/>
      <c r="M107" s="302" t="n"/>
    </row>
  </sheetData>
  <mergeCells count="7">
    <mergeCell ref="B16:C16"/>
    <mergeCell ref="B82:L82"/>
    <mergeCell ref="C6:J6"/>
    <mergeCell ref="B83:L92"/>
    <mergeCell ref="B81:L81"/>
    <mergeCell ref="C5:J5"/>
    <mergeCell ref="B8:G13"/>
  </mergeCells>
  <printOptions horizontalCentered="1"/>
  <pageMargins left="0.7086614173228347" right="0.7086614173228347" top="0.7480314960629921" bottom="0.7480314960629921" header="0.3149606299212598" footer="0.3149606299212598"/>
  <pageSetup orientation="portrait" paperSize="9" scale="37"/>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tabColor rgb="FF025F71"/>
    <outlinePr summaryBelow="1" summaryRight="1"/>
    <pageSetUpPr/>
  </sheetPr>
  <dimension ref="A1:AK101"/>
  <sheetViews>
    <sheetView tabSelected="1" topLeftCell="A16" zoomScale="85" zoomScaleNormal="85" zoomScaleSheetLayoutView="85" workbookViewId="0">
      <selection activeCell="C29" sqref="C29"/>
    </sheetView>
  </sheetViews>
  <sheetFormatPr baseColWidth="8" defaultColWidth="8.58203125" defaultRowHeight="14"/>
  <cols>
    <col width="4.33203125" customWidth="1" style="269" min="1" max="1"/>
    <col width="42.5" customWidth="1" style="278" min="2" max="2"/>
    <col width="40.83203125" customWidth="1" style="278" min="3" max="3"/>
    <col width="15.33203125" customWidth="1" style="278" min="4" max="4"/>
    <col width="10.33203125" customWidth="1" style="278" min="5" max="5"/>
    <col width="9.08203125" customWidth="1" style="278" min="6" max="16"/>
    <col width="18.5" customWidth="1" style="278" min="17" max="17"/>
    <col width="4.83203125" customWidth="1" style="269" min="18" max="18"/>
    <col width="8.58203125" customWidth="1" style="269" min="19" max="37"/>
    <col width="8.58203125" customWidth="1" style="278" min="38" max="16384"/>
  </cols>
  <sheetData>
    <row r="1" ht="17.25" customFormat="1" customHeight="1" s="269" thickBot="1">
      <c r="A1" s="302" t="n"/>
      <c r="B1" s="268" t="n"/>
      <c r="C1" s="268" t="n"/>
      <c r="D1" s="268" t="n"/>
      <c r="E1" s="268" t="n"/>
      <c r="F1" s="268" t="n"/>
      <c r="G1" s="268" t="n"/>
      <c r="H1" s="268" t="n"/>
      <c r="I1" s="268" t="n"/>
      <c r="J1" s="268" t="n"/>
      <c r="K1" s="268" t="n"/>
      <c r="L1" s="268" t="n"/>
      <c r="M1" s="268" t="n"/>
      <c r="N1" s="268" t="n"/>
      <c r="O1" s="268" t="n"/>
      <c r="P1" s="268" t="n"/>
      <c r="Q1" s="268" t="n"/>
      <c r="R1" s="302" t="n"/>
      <c r="S1" s="302" t="n"/>
      <c r="T1" s="302" t="n"/>
      <c r="U1" s="302" t="n"/>
      <c r="V1" s="302" t="n"/>
      <c r="W1" s="302" t="n"/>
      <c r="X1" s="302" t="n"/>
      <c r="Y1" s="302" t="n"/>
      <c r="Z1" s="302" t="n"/>
      <c r="AA1" s="302" t="n"/>
      <c r="AB1" s="302" t="n"/>
      <c r="AC1" s="302" t="n"/>
      <c r="AD1" s="302" t="n"/>
      <c r="AE1" s="302" t="n"/>
      <c r="AF1" s="302" t="n"/>
      <c r="AG1" s="302" t="n"/>
      <c r="AH1" s="302" t="n"/>
      <c r="AI1" s="302" t="n"/>
      <c r="AJ1" s="302" t="n"/>
      <c r="AK1" s="302" t="n"/>
    </row>
    <row r="2" ht="17.25" customFormat="1" customHeight="1" s="269" thickTop="1">
      <c r="A2" s="302" t="n"/>
      <c r="B2" s="256" t="n"/>
      <c r="C2" s="256" t="n"/>
      <c r="D2" s="256" t="n"/>
      <c r="E2" s="256" t="n"/>
      <c r="F2" s="256" t="n"/>
      <c r="G2" s="256" t="n"/>
      <c r="H2" s="256" t="n"/>
      <c r="I2" s="256" t="n"/>
      <c r="J2" s="256" t="n"/>
      <c r="K2" s="256" t="n"/>
      <c r="L2" s="256" t="n"/>
      <c r="M2" s="256" t="n"/>
      <c r="N2" s="256" t="n"/>
      <c r="O2" s="256" t="n"/>
      <c r="P2" s="256" t="n"/>
      <c r="Q2" s="256" t="n"/>
      <c r="R2" s="302" t="n"/>
      <c r="S2" s="302" t="n"/>
      <c r="T2" s="302" t="n"/>
      <c r="U2" s="302" t="n"/>
      <c r="V2" s="302" t="n"/>
      <c r="W2" s="302" t="n"/>
      <c r="X2" s="302" t="n"/>
      <c r="Y2" s="302" t="n"/>
      <c r="Z2" s="302" t="n"/>
      <c r="AA2" s="302" t="n"/>
      <c r="AB2" s="302" t="n"/>
      <c r="AC2" s="302" t="n"/>
      <c r="AD2" s="302" t="n"/>
      <c r="AE2" s="302" t="n"/>
      <c r="AF2" s="302" t="n"/>
      <c r="AG2" s="302" t="n"/>
      <c r="AH2" s="302" t="n"/>
      <c r="AI2" s="302" t="n"/>
      <c r="AJ2" s="302" t="n"/>
      <c r="AK2" s="302" t="n"/>
    </row>
    <row r="3" ht="21" customFormat="1" customHeight="1" s="5">
      <c r="B3" s="242" t="inlineStr">
        <is>
          <t>12-Month Cash Flow Forecast</t>
        </is>
      </c>
      <c r="C3" s="270" t="n"/>
      <c r="D3" s="271" t="n"/>
      <c r="E3" s="229" t="n"/>
      <c r="F3" s="272" t="n"/>
      <c r="G3" s="272" t="n"/>
      <c r="I3" s="272" t="n"/>
      <c r="L3" s="272" t="n"/>
      <c r="M3" s="272" t="n"/>
      <c r="N3" s="272" t="n"/>
      <c r="O3" s="272" t="n"/>
      <c r="P3" s="272" t="n"/>
      <c r="Q3" s="272" t="n"/>
    </row>
    <row r="4" ht="33" customFormat="1" customHeight="1" s="5">
      <c r="B4" s="271" t="n"/>
      <c r="C4" s="271" t="n"/>
      <c r="D4" s="271" t="n"/>
      <c r="E4" s="229" t="n"/>
      <c r="F4" s="272" t="n"/>
      <c r="G4" s="272" t="n"/>
      <c r="P4" s="272" t="n"/>
      <c r="Q4" s="272" t="n"/>
    </row>
    <row r="5" ht="33" customFormat="1" customHeight="1" s="5">
      <c r="B5" s="297" t="inlineStr">
        <is>
          <t>Name:</t>
        </is>
      </c>
      <c r="C5" s="435">
        <f>IF(ISBLANK(Guidance!$E$3),"",Guidance!$E$3)</f>
        <v/>
      </c>
      <c r="D5" s="914" t="n"/>
      <c r="E5" s="914" t="n"/>
      <c r="F5" s="914" t="n"/>
      <c r="G5" s="914" t="n"/>
      <c r="H5" s="914" t="n"/>
      <c r="I5" s="914" t="n"/>
      <c r="J5" s="914" t="n"/>
      <c r="P5" s="272" t="n"/>
      <c r="Q5" s="272" t="n"/>
    </row>
    <row r="6" ht="33" customFormat="1" customHeight="1" s="5">
      <c r="B6" s="297" t="inlineStr">
        <is>
          <t>Company Name:</t>
        </is>
      </c>
      <c r="C6" s="435">
        <f>IF(ISBLANK(Guidance!$E$4),"",Guidance!$E$4)</f>
        <v/>
      </c>
      <c r="D6" s="914" t="n"/>
      <c r="E6" s="914" t="n"/>
      <c r="F6" s="914" t="n"/>
      <c r="G6" s="914" t="n"/>
      <c r="H6" s="914" t="n"/>
      <c r="I6" s="914" t="n"/>
      <c r="J6" s="914" t="n"/>
      <c r="P6" s="272" t="n"/>
      <c r="Q6" s="272" t="n"/>
    </row>
    <row r="7" ht="33" customFormat="1" customHeight="1" s="5" thickBot="1">
      <c r="B7" s="271" t="n"/>
      <c r="C7" s="271" t="n"/>
      <c r="D7" s="271" t="n"/>
      <c r="E7" s="229" t="n"/>
      <c r="F7" s="272" t="n"/>
      <c r="G7" s="272" t="n"/>
      <c r="P7" s="272" t="n"/>
      <c r="Q7" s="272" t="n"/>
    </row>
    <row r="8" ht="22.5" customFormat="1" customHeight="1" s="269">
      <c r="A8" s="302" t="n"/>
      <c r="B8" s="1159" t="inlineStr">
        <is>
          <t xml:space="preserve">Your Cash Flow Forecast (CFF) is an estimate of the money you expect to bring in to and pay out of your business over the next 12-months. Importantly, it should reflect all of the activity you have described in your Business Plan.  
 - Your CFF should show BUSINESS revenue and expenses only, not personal items;
 - Your CFF is FORWARD looking, reflecting future anticipated transactions into and out of your business;
 - You can input your loan amount and the term length (12-60months), which will autocalculate onto the CFF below;											
 - You will be asked to choose a start month for your CFF; this should be the next month after you expect to receive the loan and should match up with the month you selected in your Sales Assumptions;
 - Remember, some of the information that you have created in your Sales Assumptions will auto-populate in your CFF tab. These cells are blue and you do not need to edit them;
 - Any assumptions you make regarding your cash in-flows and cash out-flows should be both realistic and supportable. If you're starting a new business, we suggest being conservative with the cash flows you enter for the early months of trading;
 - It's important that your CFF corresponds with all of the objectives and activities you have outlined in your Business Plan. For example, if you have detailed plans for a three-month marketing campaign in your Business Plan then the costs for running this campaign should be clearly visible in your CFF;
 - Your CFF is based on a future estimate and while these figures will no doubt change over that trading period, it is a good amount of time for you - and us - to see how sustainable your plans are;
 - There is a commentary box at the bottom, for which you can use to explain any of costings, which you think will be of use to your Business Adviser	</t>
        </is>
      </c>
      <c r="C8" s="921" t="n"/>
      <c r="D8" s="921" t="n"/>
      <c r="E8" s="921" t="n"/>
      <c r="F8" s="921" t="n"/>
      <c r="G8" s="921" t="n"/>
      <c r="H8" s="921" t="n"/>
      <c r="I8" s="921" t="n"/>
      <c r="J8" s="921" t="n"/>
      <c r="K8" s="921" t="n"/>
      <c r="L8" s="921" t="n"/>
      <c r="M8" s="922" t="n"/>
      <c r="N8" s="302" t="n"/>
      <c r="O8" s="302" t="n"/>
      <c r="P8" s="302" t="n"/>
      <c r="Q8" s="5" t="n"/>
      <c r="R8" s="272" t="n"/>
      <c r="S8" s="302" t="n"/>
      <c r="T8" s="5" t="n"/>
      <c r="U8" s="5" t="n"/>
      <c r="V8" s="5" t="n"/>
      <c r="W8" s="5" t="n"/>
      <c r="X8" s="5" t="n"/>
      <c r="Y8" s="302" t="n"/>
      <c r="Z8" s="302" t="n"/>
      <c r="AA8" s="302" t="n"/>
      <c r="AB8" s="302" t="n"/>
      <c r="AC8" s="302" t="n"/>
      <c r="AD8" s="302" t="n"/>
      <c r="AE8" s="302" t="n"/>
      <c r="AF8" s="302" t="n"/>
      <c r="AG8" s="302" t="n"/>
      <c r="AH8" s="302" t="n"/>
      <c r="AI8" s="302" t="n"/>
      <c r="AJ8" s="302" t="n"/>
      <c r="AK8" s="302" t="n"/>
    </row>
    <row r="9" ht="22.5" customFormat="1" customHeight="1" s="269">
      <c r="A9" s="302" t="n"/>
      <c r="B9" s="923" t="n"/>
      <c r="M9" s="924" t="n"/>
      <c r="N9" s="302" t="n"/>
      <c r="O9" s="10" t="n"/>
      <c r="P9" s="302" t="n"/>
      <c r="Q9" s="5" t="n"/>
      <c r="R9" s="272" t="n"/>
      <c r="S9" s="302" t="n"/>
      <c r="T9" s="5" t="n"/>
      <c r="U9" s="5" t="n"/>
      <c r="V9" s="5" t="n"/>
      <c r="W9" s="5" t="n"/>
      <c r="X9" s="5" t="n"/>
      <c r="Y9" s="302" t="n"/>
      <c r="Z9" s="302" t="n"/>
      <c r="AA9" s="302" t="n"/>
      <c r="AB9" s="302" t="n"/>
      <c r="AC9" s="302" t="n"/>
      <c r="AD9" s="302" t="n"/>
      <c r="AE9" s="302" t="n"/>
      <c r="AF9" s="302" t="n"/>
      <c r="AG9" s="302" t="n"/>
      <c r="AH9" s="302" t="n"/>
      <c r="AI9" s="302" t="n"/>
      <c r="AJ9" s="302" t="n"/>
      <c r="AK9" s="302" t="n"/>
    </row>
    <row r="10" ht="22.5" customFormat="1" customHeight="1" s="269">
      <c r="A10" s="302" t="n"/>
      <c r="B10" s="923" t="n"/>
      <c r="M10" s="924" t="n"/>
      <c r="N10" s="302" t="n"/>
      <c r="O10" s="10" t="n"/>
      <c r="P10" s="302" t="n"/>
      <c r="Q10" s="5" t="n"/>
      <c r="R10" s="272" t="n"/>
      <c r="S10" s="302" t="n"/>
      <c r="T10" s="5" t="n"/>
      <c r="U10" s="5" t="n"/>
      <c r="V10" s="5" t="n"/>
      <c r="W10" s="5" t="n"/>
      <c r="X10" s="5" t="n"/>
      <c r="Y10" s="302" t="n"/>
      <c r="Z10" s="302" t="n"/>
      <c r="AA10" s="302" t="n"/>
      <c r="AB10" s="302" t="n"/>
      <c r="AC10" s="302" t="n"/>
      <c r="AD10" s="302" t="n"/>
      <c r="AE10" s="302" t="n"/>
      <c r="AF10" s="302" t="n"/>
      <c r="AG10" s="302" t="n"/>
      <c r="AH10" s="302" t="n"/>
      <c r="AI10" s="302" t="n"/>
      <c r="AJ10" s="302" t="n"/>
      <c r="AK10" s="302" t="n"/>
    </row>
    <row r="11" ht="22.5" customFormat="1" customHeight="1" s="269">
      <c r="A11" s="302" t="n"/>
      <c r="B11" s="923" t="n"/>
      <c r="M11" s="924" t="n"/>
      <c r="N11" s="302" t="n"/>
      <c r="O11" s="302" t="n"/>
      <c r="P11" s="302" t="n"/>
      <c r="Q11" s="302" t="n"/>
      <c r="R11" s="272" t="n"/>
      <c r="S11" s="302" t="n"/>
      <c r="T11" s="5" t="n"/>
      <c r="U11" s="5" t="n"/>
      <c r="V11" s="5" t="n"/>
      <c r="W11" s="5" t="n"/>
      <c r="X11" s="5" t="n"/>
      <c r="Y11" s="302" t="n"/>
      <c r="Z11" s="302" t="n"/>
      <c r="AA11" s="302" t="n"/>
      <c r="AB11" s="302" t="n"/>
      <c r="AC11" s="302" t="n"/>
      <c r="AD11" s="302" t="n"/>
      <c r="AE11" s="302" t="n"/>
      <c r="AF11" s="302" t="n"/>
      <c r="AG11" s="302" t="n"/>
      <c r="AH11" s="302" t="n"/>
      <c r="AI11" s="302" t="n"/>
      <c r="AJ11" s="302" t="n"/>
      <c r="AK11" s="302" t="n"/>
    </row>
    <row r="12" ht="22.5" customFormat="1" customHeight="1" s="269">
      <c r="A12" s="302" t="n"/>
      <c r="B12" s="923" t="n"/>
      <c r="M12" s="924" t="n"/>
      <c r="N12" s="302" t="n"/>
      <c r="O12" s="302" t="n"/>
      <c r="P12" s="302" t="n"/>
      <c r="Q12" s="302" t="n"/>
      <c r="R12" s="272" t="n"/>
      <c r="S12" s="302" t="n"/>
      <c r="T12" s="5" t="n"/>
      <c r="U12" s="5" t="n"/>
      <c r="V12" s="5" t="n"/>
      <c r="W12" s="5" t="n"/>
      <c r="X12" s="5" t="n"/>
      <c r="Y12" s="302" t="n"/>
      <c r="Z12" s="302" t="n"/>
      <c r="AA12" s="302" t="n"/>
      <c r="AB12" s="302" t="n"/>
      <c r="AC12" s="302" t="n"/>
      <c r="AD12" s="302" t="n"/>
      <c r="AE12" s="302" t="n"/>
      <c r="AF12" s="302" t="n"/>
      <c r="AG12" s="302" t="n"/>
      <c r="AH12" s="302" t="n"/>
      <c r="AI12" s="302" t="n"/>
      <c r="AJ12" s="302" t="n"/>
      <c r="AK12" s="302" t="n"/>
    </row>
    <row r="13" ht="22.5" customFormat="1" customHeight="1" s="269">
      <c r="A13" s="302" t="n"/>
      <c r="B13" s="923" t="n"/>
      <c r="M13" s="924" t="n"/>
      <c r="N13" s="302" t="n"/>
      <c r="O13" s="10" t="inlineStr">
        <is>
          <t>Key:</t>
        </is>
      </c>
      <c r="P13" s="302" t="n"/>
      <c r="Q13" s="5" t="n"/>
      <c r="R13" s="272" t="n"/>
      <c r="S13" s="302" t="n"/>
      <c r="T13" s="5" t="n"/>
      <c r="U13" s="5" t="n"/>
      <c r="V13" s="5" t="n"/>
      <c r="W13" s="5" t="n"/>
      <c r="X13" s="5" t="n"/>
      <c r="Y13" s="302" t="n"/>
      <c r="Z13" s="302" t="n"/>
      <c r="AA13" s="302" t="n"/>
      <c r="AB13" s="302" t="n"/>
      <c r="AC13" s="302" t="n"/>
      <c r="AD13" s="302" t="n"/>
      <c r="AE13" s="302" t="n"/>
      <c r="AF13" s="302" t="n"/>
      <c r="AG13" s="302" t="n"/>
      <c r="AH13" s="302" t="n"/>
      <c r="AI13" s="302" t="n"/>
      <c r="AJ13" s="302" t="n"/>
      <c r="AK13" s="302" t="n"/>
    </row>
    <row r="14" ht="24" customFormat="1" customHeight="1" s="269">
      <c r="A14" s="302" t="n"/>
      <c r="B14" s="923" t="n"/>
      <c r="M14" s="924" t="n"/>
      <c r="N14" s="302" t="n"/>
      <c r="O14" s="31" t="n"/>
      <c r="P14" s="427" t="inlineStr">
        <is>
          <t>These cells auto-calculate - you don't need to edit these.</t>
        </is>
      </c>
      <c r="Q14" s="1160" t="n"/>
      <c r="R14" s="272" t="n"/>
      <c r="S14" s="302" t="n"/>
      <c r="T14" s="5" t="n"/>
      <c r="U14" s="5" t="n"/>
      <c r="V14" s="5" t="n"/>
      <c r="W14" s="5" t="n"/>
      <c r="X14" s="5" t="n"/>
      <c r="Y14" s="302" t="n"/>
      <c r="Z14" s="302" t="n"/>
      <c r="AA14" s="302" t="n"/>
      <c r="AB14" s="302" t="n"/>
      <c r="AC14" s="302" t="n"/>
      <c r="AD14" s="302" t="n"/>
      <c r="AE14" s="302" t="n"/>
      <c r="AF14" s="302" t="n"/>
      <c r="AG14" s="302" t="n"/>
      <c r="AH14" s="302" t="n"/>
      <c r="AI14" s="302" t="n"/>
      <c r="AJ14" s="302" t="n"/>
      <c r="AK14" s="302" t="n"/>
    </row>
    <row r="15" ht="29.25" customFormat="1" customHeight="1" s="269" thickBot="1">
      <c r="A15" s="302" t="n"/>
      <c r="B15" s="932" t="n"/>
      <c r="C15" s="928" t="n"/>
      <c r="D15" s="928" t="n"/>
      <c r="E15" s="928" t="n"/>
      <c r="F15" s="928" t="n"/>
      <c r="G15" s="928" t="n"/>
      <c r="H15" s="928" t="n"/>
      <c r="I15" s="928" t="n"/>
      <c r="J15" s="928" t="n"/>
      <c r="K15" s="928" t="n"/>
      <c r="L15" s="928" t="n"/>
      <c r="M15" s="929" t="n"/>
      <c r="N15" s="302" t="n"/>
      <c r="O15" s="30" t="n"/>
      <c r="P15" s="1161" t="inlineStr">
        <is>
          <t>Insert your own text/numbers into these cells as relevant.</t>
        </is>
      </c>
      <c r="Q15" s="1160" t="n"/>
      <c r="R15" s="272" t="n"/>
      <c r="S15" s="302" t="n"/>
      <c r="T15" s="5" t="n"/>
      <c r="U15" s="5" t="n"/>
      <c r="V15" s="5" t="n"/>
      <c r="W15" s="5" t="n"/>
      <c r="X15" s="5" t="n"/>
      <c r="Y15" s="302" t="n"/>
      <c r="Z15" s="302" t="n"/>
      <c r="AA15" s="302" t="n"/>
      <c r="AB15" s="302" t="n"/>
      <c r="AC15" s="302" t="n"/>
      <c r="AD15" s="302" t="n"/>
      <c r="AE15" s="302" t="n"/>
      <c r="AF15" s="302" t="n"/>
      <c r="AG15" s="302" t="n"/>
      <c r="AH15" s="302" t="n"/>
      <c r="AI15" s="302" t="n"/>
      <c r="AJ15" s="302" t="n"/>
      <c r="AK15" s="302" t="n"/>
    </row>
    <row r="16" ht="21" customFormat="1" customHeight="1" s="269" thickBot="1">
      <c r="A16" s="302" t="n"/>
      <c r="B16" s="231" t="n"/>
      <c r="C16" s="231" t="n"/>
      <c r="D16" s="273" t="n"/>
      <c r="E16" s="273" t="n"/>
      <c r="F16" s="273" t="n"/>
      <c r="G16" s="303" t="n"/>
      <c r="H16" s="231" t="n"/>
      <c r="I16" s="303" t="n"/>
      <c r="J16" s="273" t="n"/>
      <c r="K16" s="273" t="n"/>
      <c r="L16" s="273" t="n"/>
      <c r="M16" s="273" t="n"/>
      <c r="N16" s="273" t="n"/>
      <c r="O16" s="273" t="n"/>
      <c r="P16" s="273" t="n"/>
      <c r="Q16" s="273" t="n"/>
      <c r="R16" s="272" t="n"/>
      <c r="S16" s="302" t="n"/>
      <c r="T16" s="5" t="n"/>
      <c r="U16" s="5" t="n"/>
      <c r="V16" s="5" t="n"/>
      <c r="W16" s="5" t="n"/>
      <c r="X16" s="5" t="n"/>
      <c r="Y16" s="302" t="n"/>
      <c r="Z16" s="302" t="n"/>
      <c r="AA16" s="302" t="n"/>
      <c r="AB16" s="302" t="n"/>
      <c r="AC16" s="302" t="n"/>
      <c r="AD16" s="302" t="n"/>
      <c r="AE16" s="302" t="n"/>
      <c r="AF16" s="302" t="n"/>
      <c r="AG16" s="302" t="n"/>
      <c r="AH16" s="302" t="n"/>
      <c r="AI16" s="302" t="n"/>
      <c r="AJ16" s="302" t="n"/>
      <c r="AK16" s="302" t="n"/>
    </row>
    <row r="17" ht="16.5" customFormat="1" customHeight="1" s="269" thickBot="1" thickTop="1">
      <c r="A17" s="302" t="n"/>
      <c r="B17" s="274" t="n"/>
      <c r="C17" s="274" t="n"/>
      <c r="D17" s="3" t="n"/>
      <c r="E17" s="3" t="n"/>
      <c r="F17" s="3" t="n"/>
      <c r="G17" s="3" t="n"/>
      <c r="H17" s="3" t="n"/>
      <c r="I17" s="3" t="n"/>
      <c r="J17" s="3" t="n"/>
      <c r="K17" s="3" t="n"/>
      <c r="L17" s="3" t="n"/>
      <c r="M17" s="3" t="n"/>
      <c r="N17" s="3" t="n"/>
      <c r="O17" s="3" t="n"/>
      <c r="P17" s="3" t="n"/>
      <c r="Q17" s="3" t="n"/>
      <c r="R17" s="272" t="n"/>
      <c r="S17" s="302" t="n"/>
      <c r="T17" s="5" t="n"/>
      <c r="U17" s="5" t="n"/>
      <c r="V17" s="5" t="n"/>
      <c r="W17" s="5" t="n"/>
      <c r="X17" s="5" t="n"/>
      <c r="Y17" s="302" t="n"/>
      <c r="Z17" s="302" t="n"/>
      <c r="AA17" s="302" t="n"/>
      <c r="AB17" s="302" t="n"/>
      <c r="AC17" s="302" t="n"/>
      <c r="AD17" s="302" t="n"/>
      <c r="AE17" s="302" t="n"/>
      <c r="AF17" s="302" t="n"/>
      <c r="AG17" s="302" t="n"/>
      <c r="AH17" s="302" t="n"/>
      <c r="AI17" s="302" t="n"/>
      <c r="AJ17" s="302" t="n"/>
      <c r="AK17" s="302" t="n"/>
    </row>
    <row r="18" ht="16.5" customFormat="1" customHeight="1" s="269">
      <c r="A18" s="302" t="n"/>
      <c r="B18" s="323" t="inlineStr">
        <is>
          <t>Loan amount</t>
        </is>
      </c>
      <c r="C18" s="324" t="n">
        <v>25000</v>
      </c>
      <c r="D18" s="3" t="n"/>
      <c r="E18" s="3" t="n"/>
      <c r="F18" s="3" t="n"/>
      <c r="G18" s="3" t="n"/>
      <c r="H18" s="3" t="n"/>
      <c r="I18" s="3" t="n"/>
      <c r="J18" s="3" t="n"/>
      <c r="K18" s="3" t="n"/>
      <c r="L18" s="3" t="n"/>
      <c r="M18" s="3" t="n"/>
      <c r="N18" s="3" t="n"/>
      <c r="O18" s="3" t="n"/>
      <c r="P18" s="3" t="n"/>
      <c r="Q18" s="3" t="n"/>
      <c r="R18" s="272" t="n"/>
      <c r="S18" s="302" t="n"/>
      <c r="T18" s="5" t="n"/>
      <c r="U18" s="5" t="n"/>
      <c r="V18" s="5" t="n"/>
      <c r="W18" s="5" t="n"/>
      <c r="X18" s="5" t="n"/>
      <c r="Y18" s="302" t="n"/>
      <c r="Z18" s="302" t="n"/>
      <c r="AA18" s="302" t="n"/>
      <c r="AB18" s="302" t="n"/>
      <c r="AC18" s="302" t="n"/>
      <c r="AD18" s="302" t="n"/>
      <c r="AE18" s="302" t="n"/>
      <c r="AF18" s="302" t="n"/>
      <c r="AG18" s="302" t="n"/>
      <c r="AH18" s="302" t="n"/>
      <c r="AI18" s="302" t="n"/>
      <c r="AJ18" s="302" t="n"/>
      <c r="AK18" s="302" t="n"/>
    </row>
    <row r="19" ht="16.5" customFormat="1" customHeight="1" s="269">
      <c r="A19" s="302" t="n"/>
      <c r="B19" s="323" t="inlineStr">
        <is>
          <t>Interest rate</t>
        </is>
      </c>
      <c r="C19" s="1162" t="n">
        <v>0.06</v>
      </c>
      <c r="D19" s="3" t="n"/>
      <c r="E19" s="3" t="n"/>
      <c r="F19" s="3" t="n"/>
      <c r="G19" s="3" t="n"/>
      <c r="H19" s="3" t="n"/>
      <c r="I19" s="3" t="n"/>
      <c r="J19" s="3" t="n"/>
      <c r="K19" s="3" t="n"/>
      <c r="L19" s="3" t="n"/>
      <c r="M19" s="3" t="n"/>
      <c r="N19" s="3" t="n"/>
      <c r="O19" s="3" t="n"/>
      <c r="P19" s="3" t="n"/>
      <c r="Q19" s="3" t="n"/>
      <c r="R19" s="272" t="n"/>
      <c r="S19" s="302" t="n"/>
      <c r="T19" s="5" t="n"/>
      <c r="U19" s="5" t="n"/>
      <c r="V19" s="5" t="n"/>
      <c r="W19" s="5" t="n"/>
      <c r="X19" s="5" t="n"/>
      <c r="Y19" s="302" t="n"/>
      <c r="Z19" s="302" t="n"/>
      <c r="AA19" s="302" t="n"/>
      <c r="AB19" s="302" t="n"/>
      <c r="AC19" s="302" t="n"/>
      <c r="AD19" s="302" t="n"/>
      <c r="AE19" s="302" t="n"/>
      <c r="AF19" s="302" t="n"/>
      <c r="AG19" s="302" t="n"/>
      <c r="AH19" s="302" t="n"/>
      <c r="AI19" s="302" t="n"/>
      <c r="AJ19" s="302" t="n"/>
      <c r="AK19" s="302" t="n"/>
    </row>
    <row r="20" ht="16.5" customFormat="1" customHeight="1" s="269">
      <c r="A20" s="302" t="n"/>
      <c r="B20" s="323" t="inlineStr">
        <is>
          <t>Loan term (months)</t>
        </is>
      </c>
      <c r="C20" s="325" t="n">
        <v>24</v>
      </c>
      <c r="D20" s="3" t="n"/>
      <c r="E20" s="3" t="n"/>
      <c r="F20" s="3" t="n"/>
      <c r="G20" s="3" t="n"/>
      <c r="H20" s="3" t="n"/>
      <c r="I20" s="3" t="n"/>
      <c r="J20" s="3" t="n"/>
      <c r="K20" s="3" t="n"/>
      <c r="L20" s="3" t="n"/>
      <c r="M20" s="3" t="n"/>
      <c r="N20" s="3" t="n"/>
      <c r="O20" s="3" t="n"/>
      <c r="P20" s="3" t="n"/>
      <c r="Q20" s="3" t="n"/>
      <c r="R20" s="272" t="n"/>
      <c r="S20" s="302" t="n"/>
      <c r="T20" s="5" t="n"/>
      <c r="U20" s="5" t="n"/>
      <c r="V20" s="5" t="n"/>
      <c r="W20" s="5" t="n"/>
      <c r="X20" s="5" t="n"/>
      <c r="Y20" s="302" t="n"/>
      <c r="Z20" s="302" t="n"/>
      <c r="AA20" s="302" t="n"/>
      <c r="AB20" s="302" t="n"/>
      <c r="AC20" s="302" t="n"/>
      <c r="AD20" s="302" t="n"/>
      <c r="AE20" s="302" t="n"/>
      <c r="AF20" s="302" t="n"/>
      <c r="AG20" s="302" t="n"/>
      <c r="AH20" s="302" t="n"/>
      <c r="AI20" s="302" t="n"/>
      <c r="AJ20" s="302" t="n"/>
      <c r="AK20" s="302" t="n"/>
    </row>
    <row r="21" ht="16.5" customFormat="1" customHeight="1" s="269" thickBot="1">
      <c r="A21" s="302" t="n"/>
      <c r="B21" s="323" t="inlineStr">
        <is>
          <t>Monthly repayment</t>
        </is>
      </c>
      <c r="C21" s="1163">
        <f>IFERROR(PMT(C19/12,C20,C18)*-1,"")</f>
        <v/>
      </c>
      <c r="D21" s="3" t="n"/>
      <c r="E21" s="3" t="n"/>
      <c r="F21" s="3" t="n"/>
      <c r="G21" s="3" t="n"/>
      <c r="H21" s="3" t="n"/>
      <c r="I21" s="3" t="n"/>
      <c r="J21" s="3" t="n"/>
      <c r="K21" s="3" t="n"/>
      <c r="L21" s="3" t="n"/>
      <c r="M21" s="3" t="n"/>
      <c r="N21" s="3" t="n"/>
      <c r="O21" s="3" t="n"/>
      <c r="P21" s="3" t="n"/>
      <c r="Q21" s="3" t="n"/>
      <c r="R21" s="272" t="n"/>
      <c r="S21" s="302" t="n"/>
      <c r="T21" s="5" t="n"/>
      <c r="U21" s="5" t="n"/>
      <c r="V21" s="5" t="n"/>
      <c r="W21" s="5" t="n"/>
      <c r="X21" s="5" t="n"/>
      <c r="Y21" s="302" t="n"/>
      <c r="Z21" s="302" t="n"/>
      <c r="AA21" s="302" t="n"/>
      <c r="AB21" s="302" t="n"/>
      <c r="AC21" s="302" t="n"/>
      <c r="AD21" s="302" t="n"/>
      <c r="AE21" s="302" t="n"/>
      <c r="AF21" s="302" t="n"/>
      <c r="AG21" s="302" t="n"/>
      <c r="AH21" s="302" t="n"/>
      <c r="AI21" s="302" t="n"/>
      <c r="AJ21" s="302" t="n"/>
      <c r="AK21" s="302" t="n"/>
    </row>
    <row r="22" ht="16.5" customFormat="1" customHeight="1" s="269" thickBot="1">
      <c r="A22" s="302" t="n"/>
      <c r="B22" s="274" t="n"/>
      <c r="C22" s="274" t="n"/>
      <c r="D22" s="3" t="n"/>
      <c r="E22" s="3" t="n"/>
      <c r="F22" s="3" t="n"/>
      <c r="G22" s="3" t="n"/>
      <c r="H22" s="3" t="n"/>
      <c r="I22" s="3" t="n"/>
      <c r="J22" s="3" t="n"/>
      <c r="K22" s="3" t="n"/>
      <c r="L22" s="3" t="n"/>
      <c r="M22" s="3" t="n"/>
      <c r="N22" s="3" t="n"/>
      <c r="O22" s="3" t="n"/>
      <c r="P22" s="3" t="n"/>
      <c r="Q22" s="3" t="n"/>
      <c r="R22" s="272" t="n"/>
      <c r="S22" s="302" t="n"/>
      <c r="T22" s="5" t="n"/>
      <c r="U22" s="5" t="n"/>
      <c r="V22" s="5" t="n"/>
      <c r="W22" s="5" t="n"/>
      <c r="X22" s="5" t="n"/>
      <c r="Y22" s="302" t="n"/>
      <c r="Z22" s="302" t="n"/>
      <c r="AA22" s="302" t="n"/>
      <c r="AB22" s="302" t="n"/>
      <c r="AC22" s="302" t="n"/>
      <c r="AD22" s="302" t="n"/>
      <c r="AE22" s="302" t="n"/>
      <c r="AF22" s="302" t="n"/>
      <c r="AG22" s="302" t="n"/>
      <c r="AH22" s="302" t="n"/>
      <c r="AI22" s="302" t="n"/>
      <c r="AJ22" s="302" t="n"/>
      <c r="AK22" s="302" t="n"/>
    </row>
    <row r="23" ht="18" customFormat="1" customHeight="1" s="269" thickBot="1">
      <c r="A23" s="302" t="n"/>
      <c r="B23" s="183" t="inlineStr">
        <is>
          <t>Select your starting month:</t>
        </is>
      </c>
      <c r="C23" s="267" t="inlineStr">
        <is>
          <t>June</t>
        </is>
      </c>
      <c r="D23" s="302" t="n"/>
      <c r="E23" s="229" t="n"/>
      <c r="F23" s="275" t="n"/>
      <c r="G23" s="275" t="n"/>
      <c r="H23" s="229" t="n"/>
      <c r="I23" s="302" t="n"/>
      <c r="J23" s="275" t="n"/>
      <c r="K23" s="275" t="n"/>
      <c r="L23" s="275" t="n"/>
      <c r="M23" s="275" t="n"/>
      <c r="N23" s="275" t="n"/>
      <c r="O23" s="275" t="n"/>
      <c r="P23" s="275" t="n"/>
      <c r="Q23" s="275" t="n"/>
      <c r="R23" s="302" t="n"/>
      <c r="S23" s="302" t="n"/>
      <c r="T23" s="302" t="n"/>
      <c r="U23" s="302" t="n"/>
      <c r="V23" s="302" t="n"/>
      <c r="W23" s="302" t="n"/>
      <c r="X23" s="302" t="n"/>
      <c r="Y23" s="302" t="n"/>
      <c r="Z23" s="302" t="n"/>
      <c r="AA23" s="302" t="n"/>
      <c r="AB23" s="302" t="n"/>
      <c r="AC23" s="302" t="n"/>
      <c r="AD23" s="302" t="n"/>
      <c r="AE23" s="302" t="n"/>
      <c r="AF23" s="302" t="n"/>
      <c r="AG23" s="302" t="n"/>
      <c r="AH23" s="302" t="n"/>
      <c r="AI23" s="302" t="n"/>
      <c r="AJ23" s="302" t="n"/>
      <c r="AK23" s="302" t="n"/>
    </row>
    <row r="24" ht="20.25" customFormat="1" customHeight="1" s="269" thickBot="1">
      <c r="A24" s="302" t="n"/>
      <c r="B24" s="2" t="n"/>
      <c r="C24" s="2" t="n"/>
      <c r="D24" s="3" t="n"/>
      <c r="E24" s="428" t="inlineStr">
        <is>
          <t>MONTHS</t>
        </is>
      </c>
      <c r="F24" s="949" t="n"/>
      <c r="G24" s="949" t="n"/>
      <c r="H24" s="949" t="n"/>
      <c r="I24" s="949" t="n"/>
      <c r="J24" s="949" t="n"/>
      <c r="K24" s="949" t="n"/>
      <c r="L24" s="949" t="n"/>
      <c r="M24" s="949" t="n"/>
      <c r="N24" s="949" t="n"/>
      <c r="O24" s="949" t="n"/>
      <c r="P24" s="1094" t="n"/>
      <c r="Q24" s="4" t="n"/>
      <c r="R24" s="302" t="n"/>
      <c r="S24" s="302" t="n"/>
      <c r="T24" s="302" t="n"/>
      <c r="U24" s="302" t="n"/>
      <c r="V24" s="302" t="n"/>
      <c r="W24" s="302" t="n"/>
      <c r="X24" s="302" t="n"/>
      <c r="Y24" s="302" t="n"/>
      <c r="Z24" s="302" t="n"/>
      <c r="AA24" s="302" t="n"/>
      <c r="AB24" s="302" t="n"/>
      <c r="AC24" s="302" t="n"/>
      <c r="AD24" s="302" t="n"/>
      <c r="AE24" s="302" t="n"/>
      <c r="AF24" s="302" t="n"/>
      <c r="AG24" s="302" t="n"/>
      <c r="AH24" s="302" t="n"/>
      <c r="AI24" s="302" t="n"/>
      <c r="AJ24" s="302" t="n"/>
      <c r="AK24" s="302" t="n"/>
    </row>
    <row r="25" ht="31.5" customFormat="1" customHeight="1" s="276">
      <c r="A25" s="317" t="n"/>
      <c r="B25" s="184" t="inlineStr">
        <is>
          <t>Cash in-flows</t>
        </is>
      </c>
      <c r="C25" s="185" t="inlineStr">
        <is>
          <t>Description (as required)</t>
        </is>
      </c>
      <c r="D25" s="186" t="inlineStr">
        <is>
          <t>Starting point</t>
        </is>
      </c>
      <c r="E25" s="151" t="n">
        <v>1</v>
      </c>
      <c r="F25" s="151" t="n">
        <v>2</v>
      </c>
      <c r="G25" s="151" t="n">
        <v>3</v>
      </c>
      <c r="H25" s="151" t="n">
        <v>4</v>
      </c>
      <c r="I25" s="151" t="n">
        <v>5</v>
      </c>
      <c r="J25" s="142" t="n">
        <v>6</v>
      </c>
      <c r="K25" s="151" t="n">
        <v>7</v>
      </c>
      <c r="L25" s="142" t="n">
        <v>8</v>
      </c>
      <c r="M25" s="151" t="n">
        <v>9</v>
      </c>
      <c r="N25" s="151" t="n">
        <v>10</v>
      </c>
      <c r="O25" s="151" t="n">
        <v>11</v>
      </c>
      <c r="P25" s="151" t="n">
        <v>12</v>
      </c>
      <c r="Q25" s="143" t="inlineStr">
        <is>
          <t>TOTAL</t>
        </is>
      </c>
      <c r="R25" s="317" t="n"/>
      <c r="S25" s="317" t="n"/>
      <c r="T25" s="317" t="n"/>
      <c r="U25" s="317" t="n"/>
      <c r="V25" s="317" t="n"/>
      <c r="W25" s="317" t="n"/>
      <c r="X25" s="317" t="n"/>
      <c r="Y25" s="317" t="n"/>
      <c r="Z25" s="317" t="n"/>
      <c r="AA25" s="317" t="n"/>
      <c r="AB25" s="317" t="n"/>
      <c r="AC25" s="317" t="n"/>
      <c r="AD25" s="317" t="n"/>
      <c r="AE25" s="317" t="n"/>
      <c r="AF25" s="317" t="n"/>
      <c r="AG25" s="317" t="n"/>
      <c r="AH25" s="317" t="n"/>
      <c r="AI25" s="317" t="n"/>
      <c r="AJ25" s="317" t="n"/>
      <c r="AK25" s="317" t="n"/>
    </row>
    <row r="26">
      <c r="A26" s="302" t="n"/>
      <c r="B26" s="277" t="inlineStr">
        <is>
          <t>Total anticipated sales</t>
        </is>
      </c>
      <c r="C26" s="61" t="n"/>
      <c r="D26" s="1164" t="n">
        <v>0</v>
      </c>
      <c r="E26" s="1165">
        <f>'3 Sales Assumptions(SA)'!G48</f>
        <v/>
      </c>
      <c r="F26" s="1165">
        <f>'3 Sales Assumptions(SA)'!G49</f>
        <v/>
      </c>
      <c r="G26" s="1165">
        <f>'3 Sales Assumptions(SA)'!G50</f>
        <v/>
      </c>
      <c r="H26" s="1165">
        <f>'3 Sales Assumptions(SA)'!G51</f>
        <v/>
      </c>
      <c r="I26" s="1165">
        <f>'3 Sales Assumptions(SA)'!G52</f>
        <v/>
      </c>
      <c r="J26" s="1165">
        <f>'3 Sales Assumptions(SA)'!G53</f>
        <v/>
      </c>
      <c r="K26" s="1165">
        <f>'3 Sales Assumptions(SA)'!G54</f>
        <v/>
      </c>
      <c r="L26" s="1165">
        <f>'3 Sales Assumptions(SA)'!G55</f>
        <v/>
      </c>
      <c r="M26" s="1165">
        <f>'3 Sales Assumptions(SA)'!G56</f>
        <v/>
      </c>
      <c r="N26" s="1165">
        <f>'3 Sales Assumptions(SA)'!G57</f>
        <v/>
      </c>
      <c r="O26" s="1165">
        <f>'3 Sales Assumptions(SA)'!G58</f>
        <v/>
      </c>
      <c r="P26" s="1165">
        <f>'3 Sales Assumptions(SA)'!G59</f>
        <v/>
      </c>
      <c r="Q26" s="1166">
        <f>SUM(D26:P26)</f>
        <v/>
      </c>
      <c r="R26" s="302" t="n"/>
      <c r="S26" s="302" t="n"/>
      <c r="T26" s="302" t="n"/>
      <c r="U26" s="302" t="n"/>
      <c r="V26" s="302" t="n"/>
      <c r="W26" s="302" t="n"/>
      <c r="X26" s="302" t="n"/>
      <c r="Y26" s="302" t="n"/>
      <c r="Z26" s="302" t="n"/>
      <c r="AA26" s="302" t="n"/>
      <c r="AB26" s="302" t="n"/>
      <c r="AC26" s="302" t="n"/>
      <c r="AD26" s="302" t="n"/>
      <c r="AE26" s="302" t="n"/>
      <c r="AF26" s="302" t="n"/>
      <c r="AG26" s="302" t="n"/>
      <c r="AH26" s="302" t="n"/>
      <c r="AI26" s="302" t="n"/>
      <c r="AJ26" s="302" t="n"/>
      <c r="AK26" s="302" t="n"/>
    </row>
    <row r="27">
      <c r="A27" s="302" t="n"/>
      <c r="B27" s="279" t="inlineStr">
        <is>
          <t>Value of your Start Up Loan</t>
        </is>
      </c>
      <c r="C27" s="64" t="n"/>
      <c r="D27" s="1167">
        <f>C18</f>
        <v/>
      </c>
      <c r="E27" s="1168" t="inlineStr">
        <is>
          <t>n/a</t>
        </is>
      </c>
      <c r="F27" s="1168" t="inlineStr">
        <is>
          <t>n/a</t>
        </is>
      </c>
      <c r="G27" s="1168" t="inlineStr">
        <is>
          <t>n/a</t>
        </is>
      </c>
      <c r="H27" s="1168" t="inlineStr">
        <is>
          <t>n/a</t>
        </is>
      </c>
      <c r="I27" s="1168" t="inlineStr">
        <is>
          <t>n/a</t>
        </is>
      </c>
      <c r="J27" s="1168" t="inlineStr">
        <is>
          <t>n/a</t>
        </is>
      </c>
      <c r="K27" s="1168" t="inlineStr">
        <is>
          <t>n/a</t>
        </is>
      </c>
      <c r="L27" s="1169" t="inlineStr">
        <is>
          <t>n/a</t>
        </is>
      </c>
      <c r="M27" s="1168" t="inlineStr">
        <is>
          <t>n/a</t>
        </is>
      </c>
      <c r="N27" s="1168" t="inlineStr">
        <is>
          <t>n/a</t>
        </is>
      </c>
      <c r="O27" s="1168" t="inlineStr">
        <is>
          <t>n/a</t>
        </is>
      </c>
      <c r="P27" s="1168" t="inlineStr">
        <is>
          <t>n/a</t>
        </is>
      </c>
      <c r="Q27" s="1170">
        <f>SUM(D27:P27)</f>
        <v/>
      </c>
      <c r="R27" s="302" t="n"/>
      <c r="S27" s="302" t="n"/>
      <c r="T27" s="302" t="n"/>
      <c r="U27" s="302" t="n"/>
      <c r="V27" s="302" t="n"/>
      <c r="W27" s="302" t="n"/>
      <c r="X27" s="302" t="n"/>
      <c r="Y27" s="302" t="n"/>
      <c r="Z27" s="302" t="n"/>
      <c r="AA27" s="302" t="n"/>
      <c r="AB27" s="302" t="n"/>
      <c r="AC27" s="302" t="n"/>
      <c r="AD27" s="302" t="n"/>
      <c r="AE27" s="302" t="n"/>
      <c r="AF27" s="302" t="n"/>
      <c r="AG27" s="302" t="n"/>
      <c r="AH27" s="302" t="n"/>
      <c r="AI27" s="302" t="n"/>
      <c r="AJ27" s="302" t="n"/>
      <c r="AK27" s="302" t="n"/>
    </row>
    <row r="28">
      <c r="A28" s="302" t="n"/>
      <c r="B28" s="280" t="inlineStr">
        <is>
          <t>Other sources of cash or equity</t>
        </is>
      </c>
      <c r="C28" s="61" t="n"/>
      <c r="D28" s="1171" t="n">
        <v>0</v>
      </c>
      <c r="E28" s="1172" t="n">
        <v>0</v>
      </c>
      <c r="F28" s="1172" t="n">
        <v>5000</v>
      </c>
      <c r="G28" s="1172" t="n">
        <v>0</v>
      </c>
      <c r="H28" s="1172" t="n">
        <v>0</v>
      </c>
      <c r="I28" s="1172" t="n">
        <v>0</v>
      </c>
      <c r="J28" s="1172" t="n">
        <v>0</v>
      </c>
      <c r="K28" s="1172" t="n">
        <v>0</v>
      </c>
      <c r="L28" s="1171" t="n">
        <v>0</v>
      </c>
      <c r="M28" s="1172" t="n">
        <v>0</v>
      </c>
      <c r="N28" s="1172" t="n">
        <v>0</v>
      </c>
      <c r="O28" s="1172" t="n">
        <v>0</v>
      </c>
      <c r="P28" s="1172" t="n">
        <v>0</v>
      </c>
      <c r="Q28" s="1173">
        <f>SUM(D28:P28)</f>
        <v/>
      </c>
      <c r="R28" s="302" t="n"/>
      <c r="S28" s="302" t="n"/>
      <c r="T28" s="302" t="n"/>
      <c r="U28" s="302" t="n"/>
      <c r="V28" s="302" t="n"/>
      <c r="W28" s="302" t="n"/>
      <c r="X28" s="302" t="n"/>
      <c r="Y28" s="302" t="n"/>
      <c r="Z28" s="302" t="n"/>
      <c r="AA28" s="302" t="n"/>
      <c r="AB28" s="302" t="n"/>
      <c r="AC28" s="302" t="n"/>
      <c r="AD28" s="302" t="n"/>
      <c r="AE28" s="302" t="n"/>
      <c r="AF28" s="302" t="n"/>
      <c r="AG28" s="302" t="n"/>
      <c r="AH28" s="302" t="n"/>
      <c r="AI28" s="302" t="n"/>
      <c r="AJ28" s="302" t="n"/>
      <c r="AK28" s="302" t="n"/>
    </row>
    <row r="29">
      <c r="A29" s="302" t="n"/>
      <c r="B29" s="279" t="inlineStr">
        <is>
          <t>Existing assets for business purposes</t>
        </is>
      </c>
      <c r="C29" s="64" t="n"/>
      <c r="D29" s="1174" t="n">
        <v>0</v>
      </c>
      <c r="E29" s="1175" t="n">
        <v>0</v>
      </c>
      <c r="F29" s="1175" t="n">
        <v>0</v>
      </c>
      <c r="G29" s="1175" t="n">
        <v>0</v>
      </c>
      <c r="H29" s="1175" t="n">
        <v>0</v>
      </c>
      <c r="I29" s="1175" t="n">
        <v>0</v>
      </c>
      <c r="J29" s="1175" t="n">
        <v>0</v>
      </c>
      <c r="K29" s="1175" t="n">
        <v>0</v>
      </c>
      <c r="L29" s="1174" t="n">
        <v>0</v>
      </c>
      <c r="M29" s="1175" t="n">
        <v>0</v>
      </c>
      <c r="N29" s="1175" t="n">
        <v>0</v>
      </c>
      <c r="O29" s="1175" t="n">
        <v>0</v>
      </c>
      <c r="P29" s="1175" t="n">
        <v>0</v>
      </c>
      <c r="Q29" s="1170">
        <f>SUM(D29:P29)</f>
        <v/>
      </c>
      <c r="R29" s="302" t="n"/>
      <c r="S29" s="302" t="n"/>
      <c r="T29" s="302" t="n"/>
      <c r="U29" s="302" t="n"/>
      <c r="V29" s="302" t="n"/>
      <c r="W29" s="302" t="n"/>
      <c r="X29" s="302" t="n"/>
      <c r="Y29" s="302" t="n"/>
      <c r="Z29" s="302" t="n"/>
      <c r="AA29" s="302" t="n"/>
      <c r="AB29" s="302" t="n"/>
      <c r="AC29" s="302" t="n"/>
      <c r="AD29" s="302" t="n"/>
      <c r="AE29" s="302" t="n"/>
      <c r="AF29" s="302" t="n"/>
      <c r="AG29" s="302" t="n"/>
      <c r="AH29" s="302" t="n"/>
      <c r="AI29" s="302" t="n"/>
      <c r="AJ29" s="302" t="n"/>
      <c r="AK29" s="302" t="n"/>
    </row>
    <row r="30">
      <c r="A30" s="302" t="n"/>
      <c r="B30" s="190" t="inlineStr">
        <is>
          <t>Enter other</t>
        </is>
      </c>
      <c r="C30" s="61" t="n"/>
      <c r="D30" s="1171" t="n">
        <v>0</v>
      </c>
      <c r="E30" s="1172" t="n">
        <v>0</v>
      </c>
      <c r="F30" s="1172" t="n">
        <v>0</v>
      </c>
      <c r="G30" s="1172" t="n">
        <v>0</v>
      </c>
      <c r="H30" s="1172" t="n">
        <v>0</v>
      </c>
      <c r="I30" s="1172" t="n">
        <v>0</v>
      </c>
      <c r="J30" s="1172" t="n">
        <v>0</v>
      </c>
      <c r="K30" s="1172" t="n">
        <v>0</v>
      </c>
      <c r="L30" s="1171" t="n">
        <v>0</v>
      </c>
      <c r="M30" s="1172" t="n">
        <v>0</v>
      </c>
      <c r="N30" s="1172" t="n">
        <v>0</v>
      </c>
      <c r="O30" s="1172" t="n">
        <v>0</v>
      </c>
      <c r="P30" s="1172" t="n">
        <v>0</v>
      </c>
      <c r="Q30" s="1173">
        <f>SUM(D30:P30)</f>
        <v/>
      </c>
      <c r="R30" s="302" t="n"/>
      <c r="S30" s="302" t="n"/>
      <c r="T30" s="302" t="n"/>
      <c r="U30" s="302" t="n"/>
      <c r="V30" s="302" t="n"/>
      <c r="W30" s="302" t="n"/>
      <c r="X30" s="302" t="n"/>
      <c r="Y30" s="302" t="n"/>
      <c r="Z30" s="302" t="n"/>
      <c r="AA30" s="302" t="n"/>
      <c r="AB30" s="302" t="n"/>
      <c r="AC30" s="302" t="n"/>
      <c r="AD30" s="302" t="n"/>
      <c r="AE30" s="302" t="n"/>
      <c r="AF30" s="302" t="n"/>
      <c r="AG30" s="302" t="n"/>
      <c r="AH30" s="302" t="n"/>
      <c r="AI30" s="302" t="n"/>
      <c r="AJ30" s="302" t="n"/>
      <c r="AK30" s="302" t="n"/>
    </row>
    <row r="31">
      <c r="A31" s="302" t="n"/>
      <c r="B31" s="187" t="inlineStr">
        <is>
          <t>Enter other</t>
        </is>
      </c>
      <c r="C31" s="71" t="n"/>
      <c r="D31" s="1164" t="n">
        <v>0</v>
      </c>
      <c r="E31" s="1176" t="n">
        <v>0</v>
      </c>
      <c r="F31" s="1176" t="n">
        <v>0</v>
      </c>
      <c r="G31" s="1176" t="n">
        <v>0</v>
      </c>
      <c r="H31" s="1176" t="n">
        <v>0</v>
      </c>
      <c r="I31" s="1176" t="n">
        <v>0</v>
      </c>
      <c r="J31" s="1176" t="n">
        <v>0</v>
      </c>
      <c r="K31" s="1176" t="n">
        <v>0</v>
      </c>
      <c r="L31" s="1164" t="n">
        <v>0</v>
      </c>
      <c r="M31" s="1176" t="n">
        <v>0</v>
      </c>
      <c r="N31" s="1176" t="n">
        <v>0</v>
      </c>
      <c r="O31" s="1176" t="n">
        <v>0</v>
      </c>
      <c r="P31" s="1176" t="n">
        <v>0</v>
      </c>
      <c r="Q31" s="1177">
        <f>SUM(D31:P31)</f>
        <v/>
      </c>
      <c r="R31" s="302" t="n"/>
      <c r="S31" s="302" t="n"/>
      <c r="T31" s="302" t="n"/>
      <c r="U31" s="302" t="n"/>
      <c r="V31" s="302" t="n"/>
      <c r="W31" s="302" t="n"/>
      <c r="X31" s="302" t="n"/>
      <c r="Y31" s="302" t="n"/>
      <c r="Z31" s="302" t="n"/>
      <c r="AA31" s="302" t="n"/>
      <c r="AB31" s="302" t="n"/>
      <c r="AC31" s="302" t="n"/>
      <c r="AD31" s="302" t="n"/>
      <c r="AE31" s="302" t="n"/>
      <c r="AF31" s="302" t="n"/>
      <c r="AG31" s="302" t="n"/>
      <c r="AH31" s="302" t="n"/>
      <c r="AI31" s="302" t="n"/>
      <c r="AJ31" s="302" t="n"/>
      <c r="AK31" s="302" t="n"/>
    </row>
    <row r="32">
      <c r="A32" s="302" t="n"/>
      <c r="B32" s="190" t="inlineStr">
        <is>
          <t>Enter other</t>
        </is>
      </c>
      <c r="C32" s="61" t="n"/>
      <c r="D32" s="1171" t="n">
        <v>0</v>
      </c>
      <c r="E32" s="1172" t="n">
        <v>0</v>
      </c>
      <c r="F32" s="1172" t="n">
        <v>0</v>
      </c>
      <c r="G32" s="1172" t="n">
        <v>0</v>
      </c>
      <c r="H32" s="1172" t="n">
        <v>0</v>
      </c>
      <c r="I32" s="1172" t="n">
        <v>0</v>
      </c>
      <c r="J32" s="1172" t="n">
        <v>0</v>
      </c>
      <c r="K32" s="1172" t="n">
        <v>0</v>
      </c>
      <c r="L32" s="1171" t="n">
        <v>0</v>
      </c>
      <c r="M32" s="1172" t="n">
        <v>0</v>
      </c>
      <c r="N32" s="1172" t="n">
        <v>0</v>
      </c>
      <c r="O32" s="1172" t="n">
        <v>0</v>
      </c>
      <c r="P32" s="1172" t="n">
        <v>0</v>
      </c>
      <c r="Q32" s="1173">
        <f>SUM(D32:P32)</f>
        <v/>
      </c>
      <c r="R32" s="302" t="n"/>
      <c r="S32" s="302" t="n"/>
      <c r="T32" s="302" t="n"/>
      <c r="U32" s="302" t="n"/>
      <c r="V32" s="302" t="n"/>
      <c r="W32" s="302" t="n"/>
      <c r="X32" s="302" t="n"/>
      <c r="Y32" s="302" t="n"/>
      <c r="Z32" s="302" t="n"/>
      <c r="AA32" s="302" t="n"/>
      <c r="AB32" s="302" t="n"/>
      <c r="AC32" s="302" t="n"/>
      <c r="AD32" s="302" t="n"/>
      <c r="AE32" s="302" t="n"/>
      <c r="AF32" s="302" t="n"/>
      <c r="AG32" s="302" t="n"/>
      <c r="AH32" s="302" t="n"/>
      <c r="AI32" s="302" t="n"/>
      <c r="AJ32" s="302" t="n"/>
      <c r="AK32" s="302" t="n"/>
    </row>
    <row r="33" ht="14.5" customHeight="1" thickBot="1">
      <c r="A33" s="302" t="n"/>
      <c r="B33" s="193" t="inlineStr">
        <is>
          <t>Enter other</t>
        </is>
      </c>
      <c r="C33" s="194" t="n"/>
      <c r="D33" s="1178" t="n">
        <v>0</v>
      </c>
      <c r="E33" s="1179" t="n">
        <v>0</v>
      </c>
      <c r="F33" s="1179" t="n">
        <v>0</v>
      </c>
      <c r="G33" s="1179" t="n">
        <v>0</v>
      </c>
      <c r="H33" s="1179" t="n">
        <v>0</v>
      </c>
      <c r="I33" s="1179" t="n">
        <v>0</v>
      </c>
      <c r="J33" s="1179" t="n">
        <v>0</v>
      </c>
      <c r="K33" s="1179" t="n">
        <v>0</v>
      </c>
      <c r="L33" s="1178" t="n">
        <v>0</v>
      </c>
      <c r="M33" s="1179" t="n">
        <v>0</v>
      </c>
      <c r="N33" s="1179" t="n">
        <v>0</v>
      </c>
      <c r="O33" s="1179" t="n">
        <v>0</v>
      </c>
      <c r="P33" s="1179" t="n">
        <v>0</v>
      </c>
      <c r="Q33" s="1180">
        <f>SUM(D33:P33)</f>
        <v/>
      </c>
      <c r="R33" s="302" t="n"/>
      <c r="S33" s="302" t="n"/>
      <c r="T33" s="302" t="n"/>
      <c r="U33" s="302" t="n"/>
      <c r="V33" s="302" t="n"/>
      <c r="W33" s="302" t="n"/>
      <c r="X33" s="302" t="n"/>
      <c r="Y33" s="302" t="n"/>
      <c r="Z33" s="302" t="n"/>
      <c r="AA33" s="302" t="n"/>
      <c r="AB33" s="302" t="n"/>
      <c r="AC33" s="302" t="n"/>
      <c r="AD33" s="302" t="n"/>
      <c r="AE33" s="302" t="n"/>
      <c r="AF33" s="302" t="n"/>
      <c r="AG33" s="302" t="n"/>
      <c r="AH33" s="302" t="n"/>
      <c r="AI33" s="302" t="n"/>
      <c r="AJ33" s="302" t="n"/>
      <c r="AK33" s="302" t="n"/>
    </row>
    <row r="34" ht="14.5" customHeight="1" thickBot="1">
      <c r="A34" s="302" t="n"/>
      <c r="B34" s="193" t="inlineStr">
        <is>
          <t>Enter other</t>
        </is>
      </c>
      <c r="C34" s="194" t="n"/>
      <c r="D34" s="1178" t="n">
        <v>0</v>
      </c>
      <c r="E34" s="1179" t="n">
        <v>0</v>
      </c>
      <c r="F34" s="1179" t="n">
        <v>0</v>
      </c>
      <c r="G34" s="1179" t="n">
        <v>0</v>
      </c>
      <c r="H34" s="1179" t="n">
        <v>0</v>
      </c>
      <c r="I34" s="1179" t="n">
        <v>0</v>
      </c>
      <c r="J34" s="1179" t="n">
        <v>0</v>
      </c>
      <c r="K34" s="1179" t="n">
        <v>0</v>
      </c>
      <c r="L34" s="1178" t="n">
        <v>0</v>
      </c>
      <c r="M34" s="1179" t="n">
        <v>0</v>
      </c>
      <c r="N34" s="1179" t="n">
        <v>0</v>
      </c>
      <c r="O34" s="1179" t="n">
        <v>0</v>
      </c>
      <c r="P34" s="1179" t="n">
        <v>0</v>
      </c>
      <c r="Q34" s="1180">
        <f>SUM(D34:P34)</f>
        <v/>
      </c>
      <c r="R34" s="302" t="n"/>
      <c r="S34" s="302" t="n"/>
      <c r="T34" s="302" t="n"/>
      <c r="U34" s="302" t="n"/>
      <c r="V34" s="302" t="n"/>
      <c r="W34" s="302" t="n"/>
      <c r="X34" s="302" t="n"/>
      <c r="Y34" s="302" t="n"/>
      <c r="Z34" s="302" t="n"/>
      <c r="AA34" s="302" t="n"/>
      <c r="AB34" s="302" t="n"/>
      <c r="AC34" s="302" t="n"/>
      <c r="AD34" s="302" t="n"/>
      <c r="AE34" s="302" t="n"/>
      <c r="AF34" s="302" t="n"/>
      <c r="AG34" s="302" t="n"/>
      <c r="AH34" s="302" t="n"/>
      <c r="AI34" s="302" t="n"/>
      <c r="AJ34" s="302" t="n"/>
      <c r="AK34" s="302" t="n"/>
    </row>
    <row r="35" ht="14.5" customHeight="1" thickBot="1">
      <c r="A35" s="302" t="n"/>
      <c r="B35" s="193" t="inlineStr">
        <is>
          <t>Enter other</t>
        </is>
      </c>
      <c r="C35" s="194" t="n"/>
      <c r="D35" s="1178" t="n">
        <v>0</v>
      </c>
      <c r="E35" s="1179" t="n">
        <v>0</v>
      </c>
      <c r="F35" s="1179" t="n">
        <v>0</v>
      </c>
      <c r="G35" s="1179" t="n">
        <v>0</v>
      </c>
      <c r="H35" s="1179" t="n">
        <v>0</v>
      </c>
      <c r="I35" s="1179" t="n">
        <v>0</v>
      </c>
      <c r="J35" s="1179" t="n">
        <v>0</v>
      </c>
      <c r="K35" s="1179" t="n">
        <v>0</v>
      </c>
      <c r="L35" s="1178" t="n">
        <v>0</v>
      </c>
      <c r="M35" s="1179" t="n">
        <v>0</v>
      </c>
      <c r="N35" s="1179" t="n">
        <v>0</v>
      </c>
      <c r="O35" s="1179" t="n">
        <v>0</v>
      </c>
      <c r="P35" s="1179" t="n">
        <v>0</v>
      </c>
      <c r="Q35" s="1180">
        <f>SUM(D35:P35)</f>
        <v/>
      </c>
      <c r="R35" s="302" t="n"/>
      <c r="S35" s="302" t="n"/>
      <c r="T35" s="302" t="n"/>
      <c r="U35" s="302" t="n"/>
      <c r="V35" s="302" t="n"/>
      <c r="W35" s="302" t="n"/>
      <c r="X35" s="302" t="n"/>
      <c r="Y35" s="302" t="n"/>
      <c r="Z35" s="302" t="n"/>
      <c r="AA35" s="302" t="n"/>
      <c r="AB35" s="302" t="n"/>
      <c r="AC35" s="302" t="n"/>
      <c r="AD35" s="302" t="n"/>
      <c r="AE35" s="302" t="n"/>
      <c r="AF35" s="302" t="n"/>
      <c r="AG35" s="302" t="n"/>
      <c r="AH35" s="302" t="n"/>
      <c r="AI35" s="302" t="n"/>
      <c r="AJ35" s="302" t="n"/>
      <c r="AK35" s="302" t="n"/>
    </row>
    <row r="36" ht="14.5" customHeight="1" thickBot="1">
      <c r="A36" s="302" t="n"/>
      <c r="B36" s="193" t="inlineStr">
        <is>
          <t>Enter other</t>
        </is>
      </c>
      <c r="C36" s="194" t="n"/>
      <c r="D36" s="1178" t="n">
        <v>0</v>
      </c>
      <c r="E36" s="1179" t="n">
        <v>0</v>
      </c>
      <c r="F36" s="1179" t="n">
        <v>0</v>
      </c>
      <c r="G36" s="1179" t="n">
        <v>0</v>
      </c>
      <c r="H36" s="1179" t="n">
        <v>0</v>
      </c>
      <c r="I36" s="1179" t="n">
        <v>0</v>
      </c>
      <c r="J36" s="1179" t="n">
        <v>0</v>
      </c>
      <c r="K36" s="1179" t="n">
        <v>0</v>
      </c>
      <c r="L36" s="1178" t="n">
        <v>0</v>
      </c>
      <c r="M36" s="1179" t="n">
        <v>0</v>
      </c>
      <c r="N36" s="1179" t="n">
        <v>0</v>
      </c>
      <c r="O36" s="1179" t="n">
        <v>0</v>
      </c>
      <c r="P36" s="1179" t="n">
        <v>0</v>
      </c>
      <c r="Q36" s="1180">
        <f>SUM(D36:P36)</f>
        <v/>
      </c>
      <c r="R36" s="302" t="n"/>
      <c r="S36" s="302" t="n"/>
      <c r="T36" s="302" t="n"/>
      <c r="U36" s="302" t="n"/>
      <c r="V36" s="302" t="n"/>
      <c r="W36" s="302" t="n"/>
      <c r="X36" s="302" t="n"/>
      <c r="Y36" s="302" t="n"/>
      <c r="Z36" s="302" t="n"/>
      <c r="AA36" s="302" t="n"/>
      <c r="AB36" s="302" t="n"/>
      <c r="AC36" s="302" t="n"/>
      <c r="AD36" s="302" t="n"/>
      <c r="AE36" s="302" t="n"/>
      <c r="AF36" s="302" t="n"/>
      <c r="AG36" s="302" t="n"/>
      <c r="AH36" s="302" t="n"/>
      <c r="AI36" s="302" t="n"/>
      <c r="AJ36" s="302" t="n"/>
      <c r="AK36" s="302" t="n"/>
    </row>
    <row r="37" ht="20.25" customFormat="1" customHeight="1" s="282" thickBot="1">
      <c r="A37" s="281" t="n"/>
      <c r="B37" s="1093" t="inlineStr">
        <is>
          <t>Total cash in-flows (A)</t>
        </is>
      </c>
      <c r="C37" s="1094" t="n"/>
      <c r="D37" s="1181">
        <f>SUM(D26:D36)</f>
        <v/>
      </c>
      <c r="E37" s="1182">
        <f>SUM(E26:E36)</f>
        <v/>
      </c>
      <c r="F37" s="1182">
        <f>SUM(F26:F36)</f>
        <v/>
      </c>
      <c r="G37" s="1182">
        <f>SUM(G26:G36)</f>
        <v/>
      </c>
      <c r="H37" s="1183">
        <f>SUM(H26:H36)</f>
        <v/>
      </c>
      <c r="I37" s="1184">
        <f>SUM(I26:I36)</f>
        <v/>
      </c>
      <c r="J37" s="1184">
        <f>SUM(J26:J36)</f>
        <v/>
      </c>
      <c r="K37" s="1184">
        <f>SUM(K26:K36)</f>
        <v/>
      </c>
      <c r="L37" s="1181">
        <f>SUM(L26:L36)</f>
        <v/>
      </c>
      <c r="M37" s="1182">
        <f>SUM(M26:M36)</f>
        <v/>
      </c>
      <c r="N37" s="1182">
        <f>SUM(N26:N36)</f>
        <v/>
      </c>
      <c r="O37" s="1183">
        <f>SUM(O26:O36)</f>
        <v/>
      </c>
      <c r="P37" s="1184">
        <f>SUM(P26:P36)</f>
        <v/>
      </c>
      <c r="Q37" s="1185">
        <f>SUM(D37:P37)</f>
        <v/>
      </c>
      <c r="R37" s="281" t="n"/>
      <c r="S37" s="281" t="n"/>
      <c r="T37" s="281" t="n"/>
      <c r="U37" s="281" t="n"/>
      <c r="V37" s="281" t="n"/>
      <c r="W37" s="281" t="n"/>
      <c r="X37" s="281" t="n"/>
      <c r="Y37" s="281" t="n"/>
      <c r="Z37" s="281" t="n"/>
      <c r="AA37" s="281" t="n"/>
      <c r="AB37" s="281" t="n"/>
      <c r="AC37" s="281" t="n"/>
      <c r="AD37" s="281" t="n"/>
      <c r="AE37" s="281" t="n"/>
      <c r="AF37" s="281" t="n"/>
      <c r="AG37" s="281" t="n"/>
      <c r="AH37" s="281" t="n"/>
      <c r="AI37" s="281" t="n"/>
      <c r="AJ37" s="281" t="n"/>
      <c r="AK37" s="281" t="n"/>
    </row>
    <row r="38" ht="30.75" customFormat="1" customHeight="1" s="269">
      <c r="A38" s="302" t="n"/>
      <c r="B38" s="6" t="n"/>
      <c r="C38" s="6" t="n"/>
      <c r="D38" s="7" t="n"/>
      <c r="E38" s="7" t="n"/>
      <c r="F38" s="7" t="n"/>
      <c r="G38" s="7" t="n"/>
      <c r="H38" s="7" t="n"/>
      <c r="I38" s="7" t="n"/>
      <c r="J38" s="7" t="n"/>
      <c r="K38" s="7" t="n"/>
      <c r="L38" s="7" t="n"/>
      <c r="M38" s="7" t="n"/>
      <c r="N38" s="7" t="n"/>
      <c r="O38" s="7" t="n"/>
      <c r="P38" s="7" t="n"/>
      <c r="Q38" s="8" t="n"/>
      <c r="R38" s="302" t="n"/>
      <c r="S38" s="302" t="n"/>
      <c r="T38" s="302" t="n"/>
      <c r="U38" s="302" t="n"/>
      <c r="V38" s="302" t="n"/>
      <c r="W38" s="302" t="n"/>
      <c r="X38" s="302" t="n"/>
      <c r="Y38" s="302" t="n"/>
      <c r="Z38" s="302" t="n"/>
      <c r="AA38" s="302" t="n"/>
      <c r="AB38" s="302" t="n"/>
      <c r="AC38" s="302" t="n"/>
      <c r="AD38" s="302" t="n"/>
      <c r="AE38" s="302" t="n"/>
      <c r="AF38" s="302" t="n"/>
      <c r="AG38" s="302" t="n"/>
      <c r="AH38" s="302" t="n"/>
      <c r="AI38" s="302" t="n"/>
      <c r="AJ38" s="302" t="n"/>
      <c r="AK38" s="302" t="n"/>
    </row>
    <row r="39" ht="30.75" customFormat="1" customHeight="1" s="269" thickBot="1">
      <c r="A39" s="302" t="n"/>
      <c r="B39" s="6" t="n"/>
      <c r="C39" s="6" t="n"/>
      <c r="D39" s="7" t="n"/>
      <c r="E39" s="7" t="n"/>
      <c r="F39" s="7" t="n"/>
      <c r="G39" s="7" t="n"/>
      <c r="H39" s="7" t="n"/>
      <c r="I39" s="7" t="n"/>
      <c r="J39" s="7" t="n"/>
      <c r="K39" s="7" t="n"/>
      <c r="L39" s="7" t="n"/>
      <c r="M39" s="7" t="n"/>
      <c r="N39" s="7" t="n"/>
      <c r="O39" s="7" t="n"/>
      <c r="P39" s="7" t="n"/>
      <c r="Q39" s="8" t="n"/>
      <c r="R39" s="302" t="n"/>
      <c r="S39" s="302" t="n"/>
      <c r="T39" s="302" t="n"/>
      <c r="U39" s="302" t="n"/>
      <c r="V39" s="302" t="n"/>
      <c r="W39" s="302" t="n"/>
      <c r="X39" s="302" t="n"/>
      <c r="Y39" s="302" t="n"/>
      <c r="Z39" s="302" t="n"/>
      <c r="AA39" s="302" t="n"/>
      <c r="AB39" s="302" t="n"/>
      <c r="AC39" s="302" t="n"/>
      <c r="AD39" s="302" t="n"/>
      <c r="AE39" s="302" t="n"/>
      <c r="AF39" s="302" t="n"/>
      <c r="AG39" s="302" t="n"/>
      <c r="AH39" s="302" t="n"/>
      <c r="AI39" s="302" t="n"/>
      <c r="AJ39" s="302" t="n"/>
      <c r="AK39" s="302" t="n"/>
    </row>
    <row r="40" ht="18.75" customFormat="1" customHeight="1" s="269" thickBot="1">
      <c r="A40" s="302" t="n"/>
      <c r="B40" s="6" t="n"/>
      <c r="C40" s="6" t="n"/>
      <c r="D40" s="7" t="n"/>
      <c r="E40" s="428" t="inlineStr">
        <is>
          <t>MONTHS</t>
        </is>
      </c>
      <c r="F40" s="949" t="n"/>
      <c r="G40" s="949" t="n"/>
      <c r="H40" s="949" t="n"/>
      <c r="I40" s="949" t="n"/>
      <c r="J40" s="949" t="n"/>
      <c r="K40" s="949" t="n"/>
      <c r="L40" s="949" t="n"/>
      <c r="M40" s="949" t="n"/>
      <c r="N40" s="949" t="n"/>
      <c r="O40" s="949" t="n"/>
      <c r="P40" s="1094" t="n"/>
      <c r="Q40" s="8" t="n"/>
      <c r="R40" s="302" t="n"/>
      <c r="S40" s="302" t="n"/>
      <c r="T40" s="302" t="n"/>
      <c r="U40" s="302" t="n"/>
      <c r="V40" s="302" t="n"/>
      <c r="W40" s="302" t="n"/>
      <c r="X40" s="302" t="n"/>
      <c r="Y40" s="302" t="n"/>
      <c r="Z40" s="302" t="n"/>
      <c r="AA40" s="302" t="n"/>
      <c r="AB40" s="302" t="n"/>
      <c r="AC40" s="302" t="n"/>
      <c r="AD40" s="302" t="n"/>
      <c r="AE40" s="302" t="n"/>
      <c r="AF40" s="302" t="n"/>
      <c r="AG40" s="302" t="n"/>
      <c r="AH40" s="302" t="n"/>
      <c r="AI40" s="302" t="n"/>
      <c r="AJ40" s="302" t="n"/>
      <c r="AK40" s="302" t="n"/>
    </row>
    <row r="41" ht="21.75" customFormat="1" customHeight="1" s="269">
      <c r="A41" s="302" t="n"/>
      <c r="B41" s="184" t="inlineStr">
        <is>
          <t>Cash out-flows</t>
        </is>
      </c>
      <c r="C41" s="185" t="inlineStr">
        <is>
          <t>Description (as required)</t>
        </is>
      </c>
      <c r="D41" s="185" t="inlineStr">
        <is>
          <t>Starting point</t>
        </is>
      </c>
      <c r="E41" s="142" t="n">
        <v>1</v>
      </c>
      <c r="F41" s="142" t="n">
        <v>2</v>
      </c>
      <c r="G41" s="142" t="n">
        <v>3</v>
      </c>
      <c r="H41" s="142" t="n">
        <v>4</v>
      </c>
      <c r="I41" s="142" t="n">
        <v>5</v>
      </c>
      <c r="J41" s="152" t="n">
        <v>6</v>
      </c>
      <c r="K41" s="151" t="n">
        <v>7</v>
      </c>
      <c r="L41" s="142" t="n">
        <v>8</v>
      </c>
      <c r="M41" s="142" t="n">
        <v>9</v>
      </c>
      <c r="N41" s="142" t="n">
        <v>10</v>
      </c>
      <c r="O41" s="151" t="n">
        <v>11</v>
      </c>
      <c r="P41" s="151" t="n">
        <v>12</v>
      </c>
      <c r="Q41" s="143" t="inlineStr">
        <is>
          <t>TOTAL</t>
        </is>
      </c>
      <c r="R41" s="302" t="n"/>
      <c r="S41" s="302" t="n"/>
      <c r="T41" s="302" t="n"/>
      <c r="U41" s="302" t="n"/>
      <c r="V41" s="302" t="n"/>
      <c r="W41" s="302" t="n"/>
      <c r="X41" s="302" t="n"/>
      <c r="Y41" s="302" t="n"/>
      <c r="Z41" s="302" t="n"/>
      <c r="AA41" s="302" t="n"/>
      <c r="AB41" s="302" t="n"/>
      <c r="AC41" s="302" t="n"/>
      <c r="AD41" s="302" t="n"/>
      <c r="AE41" s="302" t="n"/>
      <c r="AF41" s="302" t="n"/>
      <c r="AG41" s="302" t="n"/>
      <c r="AH41" s="302" t="n"/>
      <c r="AI41" s="302" t="n"/>
      <c r="AJ41" s="302" t="n"/>
      <c r="AK41" s="302" t="n"/>
    </row>
    <row r="42">
      <c r="A42" s="302" t="n"/>
      <c r="B42" s="283" t="inlineStr">
        <is>
          <t>Total anticipated cost of sales</t>
        </is>
      </c>
      <c r="C42" s="73" t="n"/>
      <c r="D42" s="1186" t="n">
        <v>0</v>
      </c>
      <c r="E42" s="1165">
        <f>'3 Sales Assumptions(SA)'!$G65</f>
        <v/>
      </c>
      <c r="F42" s="1165">
        <f>'3 Sales Assumptions(SA)'!$G66</f>
        <v/>
      </c>
      <c r="G42" s="1165">
        <f>'3 Sales Assumptions(SA)'!$G67</f>
        <v/>
      </c>
      <c r="H42" s="1165">
        <f>'3 Sales Assumptions(SA)'!$G68</f>
        <v/>
      </c>
      <c r="I42" s="1165">
        <f>'3 Sales Assumptions(SA)'!$G69</f>
        <v/>
      </c>
      <c r="J42" s="1165">
        <f>'3 Sales Assumptions(SA)'!$G70</f>
        <v/>
      </c>
      <c r="K42" s="1165">
        <f>'3 Sales Assumptions(SA)'!$G71</f>
        <v/>
      </c>
      <c r="L42" s="1165">
        <f>'3 Sales Assumptions(SA)'!$G72</f>
        <v/>
      </c>
      <c r="M42" s="1165">
        <f>'3 Sales Assumptions(SA)'!$G73</f>
        <v/>
      </c>
      <c r="N42" s="1165">
        <f>'3 Sales Assumptions(SA)'!$G74</f>
        <v/>
      </c>
      <c r="O42" s="1165">
        <f>'3 Sales Assumptions(SA)'!$G75</f>
        <v/>
      </c>
      <c r="P42" s="1165">
        <f>'3 Sales Assumptions(SA)'!$G76</f>
        <v/>
      </c>
      <c r="Q42" s="1166">
        <f>SUM(D42:P42)</f>
        <v/>
      </c>
      <c r="R42" s="302" t="n"/>
      <c r="S42" s="302" t="n"/>
      <c r="T42" s="302" t="n"/>
      <c r="U42" s="302" t="n"/>
      <c r="V42" s="302" t="n"/>
      <c r="W42" s="302" t="n"/>
      <c r="X42" s="302" t="n"/>
      <c r="Y42" s="302" t="n"/>
      <c r="Z42" s="302" t="n"/>
      <c r="AA42" s="302" t="n"/>
      <c r="AB42" s="302" t="n"/>
      <c r="AC42" s="302" t="n"/>
      <c r="AD42" s="302" t="n"/>
      <c r="AE42" s="302" t="n"/>
      <c r="AF42" s="302" t="n"/>
      <c r="AG42" s="302" t="n"/>
      <c r="AH42" s="302" t="n"/>
      <c r="AI42" s="302" t="n"/>
      <c r="AJ42" s="302" t="n"/>
      <c r="AK42" s="302" t="n"/>
    </row>
    <row r="43" ht="13.5" customHeight="1">
      <c r="A43" s="302" t="n"/>
      <c r="B43" s="284" t="inlineStr">
        <is>
          <t>Existing assets for business purposes</t>
        </is>
      </c>
      <c r="C43" s="75" t="n"/>
      <c r="D43" s="1187">
        <f>SUM(D29)</f>
        <v/>
      </c>
      <c r="E43" s="1188" t="n">
        <v>0</v>
      </c>
      <c r="F43" s="1188" t="n">
        <v>0</v>
      </c>
      <c r="G43" s="1188" t="n">
        <v>0</v>
      </c>
      <c r="H43" s="1188" t="n">
        <v>0</v>
      </c>
      <c r="I43" s="1188" t="n">
        <v>0</v>
      </c>
      <c r="J43" s="1188" t="n">
        <v>0</v>
      </c>
      <c r="K43" s="1188" t="n">
        <v>0</v>
      </c>
      <c r="L43" s="1188" t="n">
        <v>0</v>
      </c>
      <c r="M43" s="1188" t="n">
        <v>0</v>
      </c>
      <c r="N43" s="1188" t="n">
        <v>0</v>
      </c>
      <c r="O43" s="1188" t="n">
        <v>0</v>
      </c>
      <c r="P43" s="1188" t="n">
        <v>0</v>
      </c>
      <c r="Q43" s="1173">
        <f>SUM(D43:P43)</f>
        <v/>
      </c>
      <c r="R43" s="302" t="n"/>
      <c r="S43" s="302" t="n"/>
      <c r="T43" s="302" t="n"/>
      <c r="U43" s="302" t="n"/>
      <c r="V43" s="302" t="n"/>
      <c r="W43" s="302" t="n"/>
      <c r="X43" s="302" t="n"/>
      <c r="Y43" s="302" t="n"/>
      <c r="Z43" s="302" t="n"/>
      <c r="AA43" s="302" t="n"/>
      <c r="AB43" s="302" t="n"/>
      <c r="AC43" s="302" t="n"/>
      <c r="AD43" s="302" t="n"/>
      <c r="AE43" s="302" t="n"/>
      <c r="AF43" s="302" t="n"/>
      <c r="AG43" s="302" t="n"/>
      <c r="AH43" s="302" t="n"/>
      <c r="AI43" s="302" t="n"/>
      <c r="AJ43" s="302" t="n"/>
      <c r="AK43" s="302" t="n"/>
    </row>
    <row r="44" ht="13.5" customHeight="1">
      <c r="A44" s="302" t="n"/>
      <c r="B44" s="283" t="inlineStr">
        <is>
          <t>Rent or premises costs</t>
        </is>
      </c>
      <c r="C44" s="78" t="n"/>
      <c r="D44" s="1189" t="n">
        <v>0</v>
      </c>
      <c r="E44" s="1188" t="n">
        <v>0</v>
      </c>
      <c r="F44" s="1188" t="n">
        <v>0</v>
      </c>
      <c r="G44" s="1188" t="n">
        <v>0</v>
      </c>
      <c r="H44" s="1188" t="n">
        <v>0</v>
      </c>
      <c r="I44" s="1188" t="n">
        <v>0</v>
      </c>
      <c r="J44" s="1188" t="n">
        <v>0</v>
      </c>
      <c r="K44" s="1188" t="n">
        <v>0</v>
      </c>
      <c r="L44" s="1188" t="n">
        <v>0</v>
      </c>
      <c r="M44" s="1188" t="n">
        <v>0</v>
      </c>
      <c r="N44" s="1188" t="n">
        <v>0</v>
      </c>
      <c r="O44" s="1188" t="n">
        <v>0</v>
      </c>
      <c r="P44" s="1188" t="n">
        <v>0</v>
      </c>
      <c r="Q44" s="1177">
        <f>SUM(D44:P44)</f>
        <v/>
      </c>
      <c r="R44" s="302" t="n"/>
      <c r="S44" s="302" t="n"/>
      <c r="T44" s="302" t="n"/>
      <c r="U44" s="302" t="n"/>
      <c r="V44" s="302" t="n"/>
      <c r="W44" s="302" t="n"/>
      <c r="X44" s="302" t="n"/>
      <c r="Y44" s="302" t="n"/>
      <c r="Z44" s="302" t="n"/>
      <c r="AA44" s="302" t="n"/>
      <c r="AB44" s="302" t="n"/>
      <c r="AC44" s="302" t="n"/>
      <c r="AD44" s="302" t="n"/>
      <c r="AE44" s="302" t="n"/>
      <c r="AF44" s="302" t="n"/>
      <c r="AG44" s="302" t="n"/>
      <c r="AH44" s="302" t="n"/>
      <c r="AI44" s="302" t="n"/>
      <c r="AJ44" s="302" t="n"/>
      <c r="AK44" s="302" t="n"/>
    </row>
    <row r="45" ht="14.25" customHeight="1">
      <c r="A45" s="302" t="n"/>
      <c r="B45" s="284" t="inlineStr">
        <is>
          <t>Business rates for your business premises</t>
        </is>
      </c>
      <c r="C45" s="75" t="n"/>
      <c r="D45" s="1189" t="n">
        <v>0</v>
      </c>
      <c r="E45" s="1188" t="n">
        <v>0</v>
      </c>
      <c r="F45" s="1188" t="n">
        <v>0</v>
      </c>
      <c r="G45" s="1188" t="n">
        <v>0</v>
      </c>
      <c r="H45" s="1188" t="n">
        <v>0</v>
      </c>
      <c r="I45" s="1188" t="n">
        <v>0</v>
      </c>
      <c r="J45" s="1188" t="n">
        <v>0</v>
      </c>
      <c r="K45" s="1188" t="n">
        <v>0</v>
      </c>
      <c r="L45" s="1188" t="n">
        <v>0</v>
      </c>
      <c r="M45" s="1188" t="n">
        <v>0</v>
      </c>
      <c r="N45" s="1188" t="n">
        <v>0</v>
      </c>
      <c r="O45" s="1188" t="n">
        <v>0</v>
      </c>
      <c r="P45" s="1188" t="n">
        <v>0</v>
      </c>
      <c r="Q45" s="1173">
        <f>SUM(D45:P45)</f>
        <v/>
      </c>
      <c r="R45" s="302" t="n"/>
      <c r="S45" s="302" t="n"/>
      <c r="T45" s="302" t="n"/>
      <c r="U45" s="302" t="n"/>
      <c r="V45" s="302" t="n"/>
      <c r="W45" s="302" t="n"/>
      <c r="X45" s="302" t="n"/>
      <c r="Y45" s="302" t="n"/>
      <c r="Z45" s="302" t="n"/>
      <c r="AA45" s="302" t="n"/>
      <c r="AB45" s="302" t="n"/>
      <c r="AC45" s="302" t="n"/>
      <c r="AD45" s="302" t="n"/>
      <c r="AE45" s="302" t="n"/>
      <c r="AF45" s="302" t="n"/>
      <c r="AG45" s="302" t="n"/>
      <c r="AH45" s="302" t="n"/>
      <c r="AI45" s="302" t="n"/>
      <c r="AJ45" s="302" t="n"/>
      <c r="AK45" s="302" t="n"/>
    </row>
    <row r="46" ht="14.25" customHeight="1">
      <c r="A46" s="302" t="n"/>
      <c r="B46" s="285" t="inlineStr">
        <is>
          <t>Utilities (gas, electricity, water)</t>
        </is>
      </c>
      <c r="C46" s="80" t="n"/>
      <c r="D46" s="1189" t="n">
        <v>0</v>
      </c>
      <c r="E46" s="1188" t="n">
        <v>0</v>
      </c>
      <c r="F46" s="1188" t="n">
        <v>0</v>
      </c>
      <c r="G46" s="1188" t="n">
        <v>0</v>
      </c>
      <c r="H46" s="1188" t="n">
        <v>0</v>
      </c>
      <c r="I46" s="1188" t="n">
        <v>0</v>
      </c>
      <c r="J46" s="1188" t="n">
        <v>0</v>
      </c>
      <c r="K46" s="1188" t="n">
        <v>0</v>
      </c>
      <c r="L46" s="1188" t="n">
        <v>0</v>
      </c>
      <c r="M46" s="1188" t="n">
        <v>0</v>
      </c>
      <c r="N46" s="1188" t="n">
        <v>0</v>
      </c>
      <c r="O46" s="1188" t="n">
        <v>0</v>
      </c>
      <c r="P46" s="1188" t="n">
        <v>0</v>
      </c>
      <c r="Q46" s="1177">
        <f>SUM(D46:P46)</f>
        <v/>
      </c>
      <c r="R46" s="302" t="n"/>
      <c r="S46" s="302" t="n"/>
      <c r="T46" s="302" t="n"/>
      <c r="U46" s="302" t="n"/>
      <c r="V46" s="302" t="n"/>
      <c r="W46" s="302" t="n"/>
      <c r="X46" s="302" t="n"/>
      <c r="Y46" s="302" t="n"/>
      <c r="Z46" s="302" t="n"/>
      <c r="AA46" s="302" t="n"/>
      <c r="AB46" s="302" t="n"/>
      <c r="AC46" s="302" t="n"/>
      <c r="AD46" s="302" t="n"/>
      <c r="AE46" s="302" t="n"/>
      <c r="AF46" s="302" t="n"/>
      <c r="AG46" s="302" t="n"/>
      <c r="AH46" s="302" t="n"/>
      <c r="AI46" s="302" t="n"/>
      <c r="AJ46" s="302" t="n"/>
      <c r="AK46" s="302" t="n"/>
    </row>
    <row r="47">
      <c r="A47" s="302" t="n"/>
      <c r="B47" s="283" t="inlineStr">
        <is>
          <t>Insurance</t>
        </is>
      </c>
      <c r="C47" s="73" t="n"/>
      <c r="D47" s="1189" t="n">
        <v>0</v>
      </c>
      <c r="E47" s="1188" t="n">
        <v>0</v>
      </c>
      <c r="F47" s="1188" t="n">
        <v>0</v>
      </c>
      <c r="G47" s="1188" t="n">
        <v>0</v>
      </c>
      <c r="H47" s="1188" t="n">
        <v>0</v>
      </c>
      <c r="I47" s="1188" t="n">
        <v>0</v>
      </c>
      <c r="J47" s="1188" t="n">
        <v>0</v>
      </c>
      <c r="K47" s="1188" t="n">
        <v>0</v>
      </c>
      <c r="L47" s="1188" t="n">
        <v>0</v>
      </c>
      <c r="M47" s="1188" t="n">
        <v>0</v>
      </c>
      <c r="N47" s="1188" t="n">
        <v>0</v>
      </c>
      <c r="O47" s="1188" t="n">
        <v>0</v>
      </c>
      <c r="P47" s="1188" t="n">
        <v>0</v>
      </c>
      <c r="Q47" s="1170">
        <f>SUM(D47:P47)</f>
        <v/>
      </c>
      <c r="R47" s="302" t="n"/>
      <c r="S47" s="302" t="n"/>
      <c r="T47" s="302" t="n"/>
      <c r="U47" s="302" t="n"/>
      <c r="V47" s="302" t="n"/>
      <c r="W47" s="302" t="n"/>
      <c r="X47" s="302" t="n"/>
      <c r="Y47" s="302" t="n"/>
      <c r="Z47" s="302" t="n"/>
      <c r="AA47" s="302" t="n"/>
      <c r="AB47" s="302" t="n"/>
      <c r="AC47" s="302" t="n"/>
      <c r="AD47" s="302" t="n"/>
      <c r="AE47" s="302" t="n"/>
      <c r="AF47" s="302" t="n"/>
      <c r="AG47" s="302" t="n"/>
      <c r="AH47" s="302" t="n"/>
      <c r="AI47" s="302" t="n"/>
      <c r="AJ47" s="302" t="n"/>
      <c r="AK47" s="302" t="n"/>
    </row>
    <row r="48">
      <c r="A48" s="302" t="n"/>
      <c r="B48" s="286" t="inlineStr">
        <is>
          <t>Telephone and internet</t>
        </is>
      </c>
      <c r="C48" s="81" t="n"/>
      <c r="D48" s="1189" t="n">
        <v>0</v>
      </c>
      <c r="E48" s="1188" t="n">
        <v>80</v>
      </c>
      <c r="F48" s="1188" t="n">
        <v>80</v>
      </c>
      <c r="G48" s="1188" t="n">
        <v>80</v>
      </c>
      <c r="H48" s="1188" t="n">
        <v>80</v>
      </c>
      <c r="I48" s="1188" t="n">
        <v>80</v>
      </c>
      <c r="J48" s="1188" t="n">
        <v>80</v>
      </c>
      <c r="K48" s="1188" t="n">
        <v>80</v>
      </c>
      <c r="L48" s="1188" t="n">
        <v>80</v>
      </c>
      <c r="M48" s="1188" t="n">
        <v>80</v>
      </c>
      <c r="N48" s="1188" t="n">
        <v>80</v>
      </c>
      <c r="O48" s="1188" t="n">
        <v>80</v>
      </c>
      <c r="P48" s="1188" t="n">
        <v>80</v>
      </c>
      <c r="Q48" s="1190">
        <f>SUM(D48:P48)</f>
        <v/>
      </c>
      <c r="R48" s="302" t="n"/>
      <c r="S48" s="302" t="n"/>
      <c r="T48" s="302" t="n"/>
      <c r="U48" s="302" t="n"/>
      <c r="V48" s="302" t="n"/>
      <c r="W48" s="302" t="n"/>
      <c r="X48" s="302" t="n"/>
      <c r="Y48" s="302" t="n"/>
      <c r="Z48" s="302" t="n"/>
      <c r="AA48" s="302" t="n"/>
      <c r="AB48" s="302" t="n"/>
      <c r="AC48" s="302" t="n"/>
      <c r="AD48" s="302" t="n"/>
      <c r="AE48" s="302" t="n"/>
      <c r="AF48" s="302" t="n"/>
      <c r="AG48" s="302" t="n"/>
      <c r="AH48" s="302" t="n"/>
      <c r="AI48" s="302" t="n"/>
      <c r="AJ48" s="302" t="n"/>
      <c r="AK48" s="302" t="n"/>
    </row>
    <row r="49">
      <c r="A49" s="302" t="n"/>
      <c r="B49" s="284" t="inlineStr">
        <is>
          <t>Marketing and advertising expenses</t>
        </is>
      </c>
      <c r="C49" s="75" t="n"/>
      <c r="D49" s="1189" t="n">
        <v>0</v>
      </c>
      <c r="E49" s="1188" t="n">
        <v>0</v>
      </c>
      <c r="F49" s="1188" t="n">
        <v>0</v>
      </c>
      <c r="G49" s="1188" t="n">
        <v>0</v>
      </c>
      <c r="H49" s="1188" t="n">
        <v>0</v>
      </c>
      <c r="I49" s="1188" t="n">
        <v>0</v>
      </c>
      <c r="J49" s="1188" t="n">
        <v>0</v>
      </c>
      <c r="K49" s="1188" t="n">
        <v>0</v>
      </c>
      <c r="L49" s="1188" t="n">
        <v>0</v>
      </c>
      <c r="M49" s="1188" t="n">
        <v>0</v>
      </c>
      <c r="N49" s="1188" t="n">
        <v>0</v>
      </c>
      <c r="O49" s="1188" t="n">
        <v>0</v>
      </c>
      <c r="P49" s="1188" t="n">
        <v>0</v>
      </c>
      <c r="Q49" s="1173">
        <f>SUM(D49:P49)</f>
        <v/>
      </c>
      <c r="R49" s="302" t="n"/>
      <c r="S49" s="302" t="n"/>
      <c r="T49" s="302" t="n"/>
      <c r="U49" s="302" t="n"/>
      <c r="V49" s="302" t="n"/>
      <c r="W49" s="302" t="n"/>
      <c r="X49" s="302" t="n"/>
      <c r="Y49" s="302" t="n"/>
      <c r="Z49" s="302" t="n"/>
      <c r="AA49" s="302" t="n"/>
      <c r="AB49" s="302" t="n"/>
      <c r="AC49" s="302" t="n"/>
      <c r="AD49" s="302" t="n"/>
      <c r="AE49" s="302" t="n"/>
      <c r="AF49" s="302" t="n"/>
      <c r="AG49" s="302" t="n"/>
      <c r="AH49" s="302" t="n"/>
      <c r="AI49" s="302" t="n"/>
      <c r="AJ49" s="302" t="n"/>
      <c r="AK49" s="302" t="n"/>
    </row>
    <row r="50">
      <c r="A50" s="302" t="n"/>
      <c r="B50" s="285" t="inlineStr">
        <is>
          <t>Vehicle running costs</t>
        </is>
      </c>
      <c r="C50" s="80" t="n"/>
      <c r="D50" s="1189" t="n">
        <v>0</v>
      </c>
      <c r="E50" s="1188" t="n">
        <v>0</v>
      </c>
      <c r="F50" s="1188" t="n">
        <v>0</v>
      </c>
      <c r="G50" s="1188" t="n">
        <v>0</v>
      </c>
      <c r="H50" s="1188" t="n">
        <v>0</v>
      </c>
      <c r="I50" s="1188" t="n">
        <v>0</v>
      </c>
      <c r="J50" s="1188" t="n">
        <v>0</v>
      </c>
      <c r="K50" s="1188" t="n">
        <v>0</v>
      </c>
      <c r="L50" s="1188" t="n">
        <v>0</v>
      </c>
      <c r="M50" s="1188" t="n">
        <v>0</v>
      </c>
      <c r="N50" s="1188" t="n">
        <v>0</v>
      </c>
      <c r="O50" s="1188" t="n">
        <v>0</v>
      </c>
      <c r="P50" s="1188" t="n">
        <v>0</v>
      </c>
      <c r="Q50" s="1177">
        <f>SUM(D50:P50)</f>
        <v/>
      </c>
      <c r="R50" s="302" t="n"/>
      <c r="S50" s="302" t="n"/>
      <c r="T50" s="302" t="n"/>
      <c r="U50" s="302" t="n"/>
      <c r="V50" s="302" t="n"/>
      <c r="W50" s="302" t="n"/>
      <c r="X50" s="302" t="n"/>
      <c r="Y50" s="302" t="n"/>
      <c r="Z50" s="302" t="n"/>
      <c r="AA50" s="302" t="n"/>
      <c r="AB50" s="302" t="n"/>
      <c r="AC50" s="302" t="n"/>
      <c r="AD50" s="302" t="n"/>
      <c r="AE50" s="302" t="n"/>
      <c r="AF50" s="302" t="n"/>
      <c r="AG50" s="302" t="n"/>
      <c r="AH50" s="302" t="n"/>
      <c r="AI50" s="302" t="n"/>
      <c r="AJ50" s="302" t="n"/>
      <c r="AK50" s="302" t="n"/>
    </row>
    <row r="51">
      <c r="A51" s="302" t="n"/>
      <c r="B51" s="285" t="inlineStr">
        <is>
          <t>Equipment purchase or leasing</t>
        </is>
      </c>
      <c r="C51" s="80" t="n"/>
      <c r="D51" s="1189" t="n">
        <v>0</v>
      </c>
      <c r="E51" s="1188" t="n">
        <v>22000</v>
      </c>
      <c r="F51" s="1188" t="n">
        <v>3000</v>
      </c>
      <c r="G51" s="1188" t="n">
        <v>0</v>
      </c>
      <c r="H51" s="1188" t="n">
        <v>0</v>
      </c>
      <c r="I51" s="1188" t="n">
        <v>0</v>
      </c>
      <c r="J51" s="1188" t="n">
        <v>0</v>
      </c>
      <c r="K51" s="1188" t="n">
        <v>0</v>
      </c>
      <c r="L51" s="1188" t="n">
        <v>0</v>
      </c>
      <c r="M51" s="1188" t="n">
        <v>0</v>
      </c>
      <c r="N51" s="1188" t="n">
        <v>0</v>
      </c>
      <c r="O51" s="1188" t="n">
        <v>0</v>
      </c>
      <c r="P51" s="1188" t="n">
        <v>0</v>
      </c>
      <c r="Q51" s="1170">
        <f>SUM(D51:P51)</f>
        <v/>
      </c>
      <c r="R51" s="302" t="n"/>
      <c r="S51" s="302" t="n"/>
      <c r="T51" s="302" t="n"/>
      <c r="U51" s="302" t="n"/>
      <c r="V51" s="302" t="n"/>
      <c r="W51" s="302" t="n"/>
      <c r="X51" s="302" t="n"/>
      <c r="Y51" s="302" t="n"/>
      <c r="Z51" s="302" t="n"/>
      <c r="AA51" s="302" t="n"/>
      <c r="AB51" s="302" t="n"/>
      <c r="AC51" s="302" t="n"/>
      <c r="AD51" s="302" t="n"/>
      <c r="AE51" s="302" t="n"/>
      <c r="AF51" s="302" t="n"/>
      <c r="AG51" s="302" t="n"/>
      <c r="AH51" s="302" t="n"/>
      <c r="AI51" s="302" t="n"/>
      <c r="AJ51" s="302" t="n"/>
      <c r="AK51" s="302" t="n"/>
    </row>
    <row r="52">
      <c r="A52" s="302" t="n"/>
      <c r="B52" s="283" t="inlineStr">
        <is>
          <t>Postage, printing, stationery</t>
        </is>
      </c>
      <c r="C52" s="82" t="n"/>
      <c r="D52" s="1189" t="n">
        <v>0</v>
      </c>
      <c r="E52" s="1188" t="n">
        <v>150</v>
      </c>
      <c r="F52" s="1188" t="n">
        <v>150</v>
      </c>
      <c r="G52" s="1188" t="n">
        <v>150</v>
      </c>
      <c r="H52" s="1188" t="n">
        <v>150</v>
      </c>
      <c r="I52" s="1188" t="n">
        <v>150</v>
      </c>
      <c r="J52" s="1188" t="n">
        <v>150</v>
      </c>
      <c r="K52" s="1188" t="n">
        <v>200</v>
      </c>
      <c r="L52" s="1188" t="n">
        <v>200</v>
      </c>
      <c r="M52" s="1188" t="n">
        <v>200</v>
      </c>
      <c r="N52" s="1188" t="n">
        <v>200</v>
      </c>
      <c r="O52" s="1188" t="n">
        <v>200</v>
      </c>
      <c r="P52" s="1188" t="n">
        <v>200</v>
      </c>
      <c r="Q52" s="1190">
        <f>SUM(D52:P52)</f>
        <v/>
      </c>
      <c r="R52" s="302" t="n"/>
      <c r="S52" s="302" t="n"/>
      <c r="T52" s="302" t="n"/>
      <c r="U52" s="302" t="n"/>
      <c r="V52" s="302" t="n"/>
      <c r="W52" s="302" t="n"/>
      <c r="X52" s="302" t="n"/>
      <c r="Y52" s="302" t="n"/>
      <c r="Z52" s="302" t="n"/>
      <c r="AA52" s="302" t="n"/>
      <c r="AB52" s="302" t="n"/>
      <c r="AC52" s="302" t="n"/>
      <c r="AD52" s="302" t="n"/>
      <c r="AE52" s="302" t="n"/>
      <c r="AF52" s="302" t="n"/>
      <c r="AG52" s="302" t="n"/>
      <c r="AH52" s="302" t="n"/>
      <c r="AI52" s="302" t="n"/>
      <c r="AJ52" s="302" t="n"/>
      <c r="AK52" s="302" t="n"/>
    </row>
    <row r="53">
      <c r="A53" s="302" t="n"/>
      <c r="B53" s="284" t="inlineStr">
        <is>
          <t>Transport and delivery</t>
        </is>
      </c>
      <c r="C53" s="83" t="n"/>
      <c r="D53" s="1189" t="n">
        <v>0</v>
      </c>
      <c r="E53" s="1188" t="n">
        <v>0</v>
      </c>
      <c r="F53" s="1188" t="n">
        <v>0</v>
      </c>
      <c r="G53" s="1188" t="n">
        <v>0</v>
      </c>
      <c r="H53" s="1188" t="n">
        <v>0</v>
      </c>
      <c r="I53" s="1188" t="n">
        <v>0</v>
      </c>
      <c r="J53" s="1188" t="n">
        <v>0</v>
      </c>
      <c r="K53" s="1188" t="n">
        <v>0</v>
      </c>
      <c r="L53" s="1188" t="n">
        <v>0</v>
      </c>
      <c r="M53" s="1188" t="n">
        <v>0</v>
      </c>
      <c r="N53" s="1188" t="n">
        <v>0</v>
      </c>
      <c r="O53" s="1188" t="n">
        <v>0</v>
      </c>
      <c r="P53" s="1188" t="n">
        <v>0</v>
      </c>
      <c r="Q53" s="1173">
        <f>SUM(D53:P53)</f>
        <v/>
      </c>
      <c r="R53" s="302" t="n"/>
      <c r="S53" s="302" t="n"/>
      <c r="T53" s="302" t="n"/>
      <c r="U53" s="302" t="n"/>
      <c r="V53" s="302" t="n"/>
      <c r="W53" s="302" t="n"/>
      <c r="X53" s="302" t="n"/>
      <c r="Y53" s="302" t="n"/>
      <c r="Z53" s="302" t="n"/>
      <c r="AA53" s="302" t="n"/>
      <c r="AB53" s="302" t="n"/>
      <c r="AC53" s="302" t="n"/>
      <c r="AD53" s="302" t="n"/>
      <c r="AE53" s="302" t="n"/>
      <c r="AF53" s="302" t="n"/>
      <c r="AG53" s="302" t="n"/>
      <c r="AH53" s="302" t="n"/>
      <c r="AI53" s="302" t="n"/>
      <c r="AJ53" s="302" t="n"/>
      <c r="AK53" s="302" t="n"/>
    </row>
    <row r="54">
      <c r="A54" s="302" t="n"/>
      <c r="B54" s="283" t="inlineStr">
        <is>
          <t>Professional fees (legal, accounting etc.)</t>
        </is>
      </c>
      <c r="C54" s="73" t="n"/>
      <c r="D54" s="1186" t="n">
        <v>0</v>
      </c>
      <c r="E54" s="1188" t="n">
        <v>0</v>
      </c>
      <c r="F54" s="1188" t="n">
        <v>0</v>
      </c>
      <c r="G54" s="1188" t="n">
        <v>0</v>
      </c>
      <c r="H54" s="1188" t="n">
        <v>0</v>
      </c>
      <c r="I54" s="1188" t="n">
        <v>0</v>
      </c>
      <c r="J54" s="1188" t="n">
        <v>0</v>
      </c>
      <c r="K54" s="1188" t="n">
        <v>0</v>
      </c>
      <c r="L54" s="1188" t="n">
        <v>0</v>
      </c>
      <c r="M54" s="1188" t="n">
        <v>0</v>
      </c>
      <c r="N54" s="1188" t="n">
        <v>0</v>
      </c>
      <c r="O54" s="1188" t="n">
        <v>0</v>
      </c>
      <c r="P54" s="1188" t="n">
        <v>0</v>
      </c>
      <c r="Q54" s="1170">
        <f>SUM(D54:P54)</f>
        <v/>
      </c>
      <c r="R54" s="302" t="n"/>
      <c r="S54" s="302" t="n"/>
      <c r="T54" s="302" t="n"/>
      <c r="U54" s="302" t="n"/>
      <c r="V54" s="302" t="n"/>
      <c r="W54" s="302" t="n"/>
      <c r="X54" s="302" t="n"/>
      <c r="Y54" s="302" t="n"/>
      <c r="Z54" s="302" t="n"/>
      <c r="AA54" s="302" t="n"/>
      <c r="AB54" s="302" t="n"/>
      <c r="AC54" s="302" t="n"/>
      <c r="AD54" s="302" t="n"/>
      <c r="AE54" s="302" t="n"/>
      <c r="AF54" s="302" t="n"/>
      <c r="AG54" s="302" t="n"/>
      <c r="AH54" s="302" t="n"/>
      <c r="AI54" s="302" t="n"/>
      <c r="AJ54" s="302" t="n"/>
      <c r="AK54" s="302" t="n"/>
    </row>
    <row r="55">
      <c r="A55" s="302" t="n"/>
      <c r="B55" s="280" t="inlineStr">
        <is>
          <t>Your salary (if PSB is in deficit)*</t>
        </is>
      </c>
      <c r="C55" s="75" t="n"/>
      <c r="D55" s="1188" t="inlineStr">
        <is>
          <t>n/a</t>
        </is>
      </c>
      <c r="E55" s="1187">
        <f>IF('2 Personal Survival Budget(PSB)'!E60&lt;0,-'2 Personal Survival Budget(PSB)'!E60,0)</f>
        <v/>
      </c>
      <c r="F55" s="1187">
        <f>E55</f>
        <v/>
      </c>
      <c r="G55" s="1187">
        <f>F55</f>
        <v/>
      </c>
      <c r="H55" s="1187">
        <f>G55</f>
        <v/>
      </c>
      <c r="I55" s="1187">
        <f>H55</f>
        <v/>
      </c>
      <c r="J55" s="1191">
        <f>I55</f>
        <v/>
      </c>
      <c r="K55" s="1192">
        <f>J55</f>
        <v/>
      </c>
      <c r="L55" s="1187">
        <f>K55</f>
        <v/>
      </c>
      <c r="M55" s="1187">
        <f>L55</f>
        <v/>
      </c>
      <c r="N55" s="1187">
        <f>M55</f>
        <v/>
      </c>
      <c r="O55" s="1187">
        <f>N55</f>
        <v/>
      </c>
      <c r="P55" s="1187">
        <f>O55</f>
        <v/>
      </c>
      <c r="Q55" s="1173">
        <f>SUM(E55:P55)</f>
        <v/>
      </c>
      <c r="R55" s="302" t="n"/>
      <c r="S55" s="302" t="n"/>
      <c r="T55" s="302" t="n"/>
      <c r="U55" s="302" t="n"/>
      <c r="V55" s="302" t="n"/>
      <c r="W55" s="302" t="n"/>
      <c r="X55" s="302" t="n"/>
      <c r="Y55" s="302" t="n"/>
      <c r="Z55" s="302" t="n"/>
      <c r="AA55" s="302" t="n"/>
      <c r="AB55" s="302" t="n"/>
      <c r="AC55" s="302" t="n"/>
      <c r="AD55" s="302" t="n"/>
      <c r="AE55" s="302" t="n"/>
      <c r="AF55" s="302" t="n"/>
      <c r="AG55" s="302" t="n"/>
      <c r="AH55" s="302" t="n"/>
      <c r="AI55" s="302" t="n"/>
      <c r="AJ55" s="302" t="n"/>
      <c r="AK55" s="302" t="n"/>
    </row>
    <row r="56">
      <c r="A56" s="302" t="n"/>
      <c r="B56" s="279" t="inlineStr">
        <is>
          <t>Your salary (over and above your PSB needs)*</t>
        </is>
      </c>
      <c r="C56" s="78" t="n"/>
      <c r="D56" s="1189" t="inlineStr">
        <is>
          <t>n/a</t>
        </is>
      </c>
      <c r="E56" s="1189" t="n">
        <v>0</v>
      </c>
      <c r="F56" s="1189" t="n">
        <v>0</v>
      </c>
      <c r="G56" s="1189" t="n">
        <v>0</v>
      </c>
      <c r="H56" s="1189" t="n">
        <v>0</v>
      </c>
      <c r="I56" s="1189" t="n">
        <v>0</v>
      </c>
      <c r="J56" s="1189" t="n">
        <v>0</v>
      </c>
      <c r="K56" s="1189" t="n">
        <v>0</v>
      </c>
      <c r="L56" s="1189" t="n">
        <v>0</v>
      </c>
      <c r="M56" s="1189" t="n">
        <v>0</v>
      </c>
      <c r="N56" s="1189" t="n">
        <v>0</v>
      </c>
      <c r="O56" s="1189" t="n">
        <v>0</v>
      </c>
      <c r="P56" s="1189" t="n">
        <v>0</v>
      </c>
      <c r="Q56" s="1177">
        <f>SUM(D56:P56)</f>
        <v/>
      </c>
      <c r="R56" s="302" t="n"/>
      <c r="S56" s="302" t="n"/>
      <c r="T56" s="302" t="n"/>
      <c r="U56" s="302" t="n"/>
      <c r="V56" s="302" t="n"/>
      <c r="W56" s="302" t="n"/>
      <c r="X56" s="302" t="n"/>
      <c r="Y56" s="302" t="n"/>
      <c r="Z56" s="302" t="n"/>
      <c r="AA56" s="302" t="n"/>
      <c r="AB56" s="302" t="n"/>
      <c r="AC56" s="302" t="n"/>
      <c r="AD56" s="302" t="n"/>
      <c r="AE56" s="302" t="n"/>
      <c r="AF56" s="302" t="n"/>
      <c r="AG56" s="302" t="n"/>
      <c r="AH56" s="302" t="n"/>
      <c r="AI56" s="302" t="n"/>
      <c r="AJ56" s="302" t="n"/>
      <c r="AK56" s="302" t="n"/>
    </row>
    <row r="57">
      <c r="A57" s="302" t="n"/>
      <c r="B57" s="286" t="inlineStr">
        <is>
          <t>Staff costs</t>
        </is>
      </c>
      <c r="C57" s="73" t="n"/>
      <c r="D57" s="1186" t="n">
        <v>0</v>
      </c>
      <c r="E57" s="1189" t="n">
        <v>0</v>
      </c>
      <c r="F57" s="1189" t="n">
        <v>0</v>
      </c>
      <c r="G57" s="1189" t="n">
        <v>0</v>
      </c>
      <c r="H57" s="1189" t="n">
        <v>0</v>
      </c>
      <c r="I57" s="1189" t="n">
        <v>0</v>
      </c>
      <c r="J57" s="1189" t="n">
        <v>0</v>
      </c>
      <c r="K57" s="1189" t="n">
        <v>0</v>
      </c>
      <c r="L57" s="1189" t="n">
        <v>0</v>
      </c>
      <c r="M57" s="1189" t="n">
        <v>0</v>
      </c>
      <c r="N57" s="1189" t="n">
        <v>0</v>
      </c>
      <c r="O57" s="1189" t="n">
        <v>0</v>
      </c>
      <c r="P57" s="1189" t="n">
        <v>0</v>
      </c>
      <c r="Q57" s="1170">
        <f>SUM(D57:P57)</f>
        <v/>
      </c>
      <c r="R57" s="302" t="n"/>
      <c r="S57" s="302" t="n"/>
      <c r="T57" s="302" t="n"/>
      <c r="U57" s="302" t="n"/>
      <c r="V57" s="302" t="n"/>
      <c r="W57" s="302" t="n"/>
      <c r="X57" s="302" t="n"/>
      <c r="Y57" s="302" t="n"/>
      <c r="Z57" s="302" t="n"/>
      <c r="AA57" s="302" t="n"/>
      <c r="AB57" s="302" t="n"/>
      <c r="AC57" s="302" t="n"/>
      <c r="AD57" s="302" t="n"/>
      <c r="AE57" s="302" t="n"/>
      <c r="AF57" s="302" t="n"/>
      <c r="AG57" s="302" t="n"/>
      <c r="AH57" s="302" t="n"/>
      <c r="AI57" s="302" t="n"/>
      <c r="AJ57" s="302" t="n"/>
      <c r="AK57" s="302" t="n"/>
    </row>
    <row r="58">
      <c r="A58" s="302" t="n"/>
      <c r="B58" s="287" t="inlineStr">
        <is>
          <t>Start Up Loan monthly repayment - First Loan</t>
        </is>
      </c>
      <c r="C58" s="83" t="n"/>
      <c r="D58" s="1188" t="inlineStr">
        <is>
          <t>n/a</t>
        </is>
      </c>
      <c r="E58" s="1193">
        <f>C21</f>
        <v/>
      </c>
      <c r="F58" s="1187">
        <f>E58</f>
        <v/>
      </c>
      <c r="G58" s="1187">
        <f>E58</f>
        <v/>
      </c>
      <c r="H58" s="1187">
        <f>E58</f>
        <v/>
      </c>
      <c r="I58" s="1187">
        <f>E58</f>
        <v/>
      </c>
      <c r="J58" s="1191">
        <f>E58</f>
        <v/>
      </c>
      <c r="K58" s="1192">
        <f>E58</f>
        <v/>
      </c>
      <c r="L58" s="1187">
        <f>E58</f>
        <v/>
      </c>
      <c r="M58" s="1187">
        <f>E58</f>
        <v/>
      </c>
      <c r="N58" s="1187">
        <f>E58</f>
        <v/>
      </c>
      <c r="O58" s="1187">
        <f>E58</f>
        <v/>
      </c>
      <c r="P58" s="1187">
        <f>E58</f>
        <v/>
      </c>
      <c r="Q58" s="1173">
        <f>SUM(D58:P58)</f>
        <v/>
      </c>
      <c r="R58" s="302" t="n"/>
      <c r="S58" s="302" t="n"/>
      <c r="T58" s="302" t="n"/>
      <c r="U58" s="302" t="n"/>
      <c r="V58" s="302" t="n"/>
      <c r="W58" s="302" t="n"/>
      <c r="X58" s="302" t="n"/>
      <c r="Y58" s="302" t="n"/>
      <c r="Z58" s="302" t="n"/>
      <c r="AA58" s="302" t="n"/>
      <c r="AB58" s="302" t="n"/>
      <c r="AC58" s="302" t="n"/>
      <c r="AD58" s="302" t="n"/>
      <c r="AE58" s="302" t="n"/>
      <c r="AF58" s="302" t="n"/>
      <c r="AG58" s="302" t="n"/>
      <c r="AH58" s="302" t="n"/>
      <c r="AI58" s="302" t="n"/>
      <c r="AJ58" s="302" t="n"/>
      <c r="AK58" s="302" t="n"/>
    </row>
    <row r="59">
      <c r="A59" s="302" t="n"/>
      <c r="B59" s="190" t="inlineStr">
        <is>
          <t>Enter other</t>
        </is>
      </c>
      <c r="C59" s="80" t="n"/>
      <c r="D59" s="1189" t="inlineStr">
        <is>
          <t>n/a</t>
        </is>
      </c>
      <c r="E59" s="1189" t="n">
        <v>0</v>
      </c>
      <c r="F59" s="1189" t="n">
        <v>0</v>
      </c>
      <c r="G59" s="1189" t="n">
        <v>0</v>
      </c>
      <c r="H59" s="1189" t="n">
        <v>0</v>
      </c>
      <c r="I59" s="1189" t="n">
        <v>0</v>
      </c>
      <c r="J59" s="1189" t="n">
        <v>0</v>
      </c>
      <c r="K59" s="1189" t="n">
        <v>0</v>
      </c>
      <c r="L59" s="1189" t="n">
        <v>0</v>
      </c>
      <c r="M59" s="1189" t="n">
        <v>0</v>
      </c>
      <c r="N59" s="1189" t="n">
        <v>0</v>
      </c>
      <c r="O59" s="1189" t="n">
        <v>0</v>
      </c>
      <c r="P59" s="1189" t="n">
        <v>0</v>
      </c>
      <c r="Q59" s="1177">
        <f>SUM(D59:P59)</f>
        <v/>
      </c>
      <c r="R59" s="302" t="n"/>
      <c r="S59" s="302" t="n"/>
      <c r="T59" s="302" t="n"/>
      <c r="U59" s="302" t="n"/>
      <c r="V59" s="302" t="n"/>
      <c r="W59" s="302" t="n"/>
      <c r="X59" s="302" t="n"/>
      <c r="Y59" s="302" t="n"/>
      <c r="Z59" s="302" t="n"/>
      <c r="AA59" s="302" t="n"/>
      <c r="AB59" s="302" t="n"/>
      <c r="AC59" s="302" t="n"/>
      <c r="AD59" s="302" t="n"/>
      <c r="AE59" s="302" t="n"/>
      <c r="AF59" s="302" t="n"/>
      <c r="AG59" s="302" t="n"/>
      <c r="AH59" s="302" t="n"/>
      <c r="AI59" s="302" t="n"/>
      <c r="AJ59" s="302" t="n"/>
      <c r="AK59" s="302" t="n"/>
    </row>
    <row r="60">
      <c r="A60" s="302" t="n"/>
      <c r="B60" s="190" t="inlineStr">
        <is>
          <t>Enter other</t>
        </is>
      </c>
      <c r="C60" s="75" t="n"/>
      <c r="D60" s="1188" t="n">
        <v>0</v>
      </c>
      <c r="E60" s="1188" t="n">
        <v>0</v>
      </c>
      <c r="F60" s="1188" t="n">
        <v>0</v>
      </c>
      <c r="G60" s="1188" t="n">
        <v>0</v>
      </c>
      <c r="H60" s="1188" t="n">
        <v>0</v>
      </c>
      <c r="I60" s="1188" t="n">
        <v>0</v>
      </c>
      <c r="J60" s="1188" t="n">
        <v>0</v>
      </c>
      <c r="K60" s="1188" t="n">
        <v>0</v>
      </c>
      <c r="L60" s="1188" t="n">
        <v>0</v>
      </c>
      <c r="M60" s="1188" t="n">
        <v>0</v>
      </c>
      <c r="N60" s="1188" t="n">
        <v>0</v>
      </c>
      <c r="O60" s="1188" t="n">
        <v>0</v>
      </c>
      <c r="P60" s="1188" t="n">
        <v>0</v>
      </c>
      <c r="Q60" s="1173">
        <f>SUM(D60:P60)</f>
        <v/>
      </c>
      <c r="R60" s="302" t="n"/>
      <c r="S60" s="302" t="n"/>
      <c r="T60" s="302" t="n"/>
      <c r="U60" s="302" t="n"/>
      <c r="V60" s="302" t="n"/>
      <c r="W60" s="302" t="n"/>
      <c r="X60" s="302" t="n"/>
      <c r="Y60" s="302" t="n"/>
      <c r="Z60" s="302" t="n"/>
      <c r="AA60" s="302" t="n"/>
      <c r="AB60" s="302" t="n"/>
      <c r="AC60" s="302" t="n"/>
      <c r="AD60" s="302" t="n"/>
      <c r="AE60" s="302" t="n"/>
      <c r="AF60" s="302" t="n"/>
      <c r="AG60" s="302" t="n"/>
      <c r="AH60" s="302" t="n"/>
      <c r="AI60" s="302" t="n"/>
      <c r="AJ60" s="302" t="n"/>
      <c r="AK60" s="302" t="n"/>
    </row>
    <row r="61">
      <c r="A61" s="302" t="n"/>
      <c r="B61" s="190" t="inlineStr">
        <is>
          <t>Enter other</t>
        </is>
      </c>
      <c r="C61" s="73" t="n"/>
      <c r="D61" s="1186" t="n">
        <v>0</v>
      </c>
      <c r="E61" s="1188" t="n">
        <v>0</v>
      </c>
      <c r="F61" s="1188" t="n">
        <v>0</v>
      </c>
      <c r="G61" s="1188" t="n">
        <v>0</v>
      </c>
      <c r="H61" s="1188" t="n">
        <v>0</v>
      </c>
      <c r="I61" s="1188" t="n">
        <v>0</v>
      </c>
      <c r="J61" s="1188" t="n">
        <v>0</v>
      </c>
      <c r="K61" s="1188" t="n">
        <v>0</v>
      </c>
      <c r="L61" s="1188" t="n">
        <v>0</v>
      </c>
      <c r="M61" s="1188" t="n">
        <v>0</v>
      </c>
      <c r="N61" s="1188" t="n">
        <v>0</v>
      </c>
      <c r="O61" s="1188" t="n">
        <v>0</v>
      </c>
      <c r="P61" s="1188" t="n">
        <v>0</v>
      </c>
      <c r="Q61" s="1170">
        <f>SUM(D61:P61)</f>
        <v/>
      </c>
      <c r="R61" s="302" t="n"/>
      <c r="S61" s="302" t="n"/>
      <c r="T61" s="302" t="n"/>
      <c r="U61" s="302" t="n"/>
      <c r="V61" s="302" t="n"/>
      <c r="W61" s="302" t="n"/>
      <c r="X61" s="302" t="n"/>
      <c r="Y61" s="302" t="n"/>
      <c r="Z61" s="302" t="n"/>
      <c r="AA61" s="302" t="n"/>
      <c r="AB61" s="302" t="n"/>
      <c r="AC61" s="302" t="n"/>
      <c r="AD61" s="302" t="n"/>
      <c r="AE61" s="302" t="n"/>
      <c r="AF61" s="302" t="n"/>
      <c r="AG61" s="302" t="n"/>
      <c r="AH61" s="302" t="n"/>
      <c r="AI61" s="302" t="n"/>
      <c r="AJ61" s="302" t="n"/>
      <c r="AK61" s="302" t="n"/>
    </row>
    <row r="62">
      <c r="A62" s="302" t="n"/>
      <c r="B62" s="190" t="inlineStr">
        <is>
          <t>Enter other</t>
        </is>
      </c>
      <c r="C62" s="75" t="n"/>
      <c r="D62" s="1188" t="n">
        <v>0</v>
      </c>
      <c r="E62" s="1188" t="n">
        <v>0</v>
      </c>
      <c r="F62" s="1188" t="n">
        <v>0</v>
      </c>
      <c r="G62" s="1188" t="n">
        <v>0</v>
      </c>
      <c r="H62" s="1188" t="n">
        <v>0</v>
      </c>
      <c r="I62" s="1188" t="n">
        <v>0</v>
      </c>
      <c r="J62" s="1188" t="n">
        <v>0</v>
      </c>
      <c r="K62" s="1188" t="n">
        <v>0</v>
      </c>
      <c r="L62" s="1188" t="n">
        <v>0</v>
      </c>
      <c r="M62" s="1188" t="n">
        <v>0</v>
      </c>
      <c r="N62" s="1188" t="n">
        <v>0</v>
      </c>
      <c r="O62" s="1188" t="n">
        <v>0</v>
      </c>
      <c r="P62" s="1188" t="n">
        <v>0</v>
      </c>
      <c r="Q62" s="1173">
        <f>SUM(D62:P62)</f>
        <v/>
      </c>
      <c r="R62" s="302" t="n"/>
      <c r="S62" s="302" t="n"/>
      <c r="T62" s="302" t="n"/>
      <c r="U62" s="302" t="n"/>
      <c r="V62" s="302" t="n"/>
      <c r="W62" s="302" t="n"/>
      <c r="X62" s="302" t="n"/>
      <c r="Y62" s="302" t="n"/>
      <c r="Z62" s="302" t="n"/>
      <c r="AA62" s="302" t="n"/>
      <c r="AB62" s="302" t="n"/>
      <c r="AC62" s="302" t="n"/>
      <c r="AD62" s="302" t="n"/>
      <c r="AE62" s="302" t="n"/>
      <c r="AF62" s="302" t="n"/>
      <c r="AG62" s="302" t="n"/>
      <c r="AH62" s="302" t="n"/>
      <c r="AI62" s="302" t="n"/>
      <c r="AJ62" s="302" t="n"/>
      <c r="AK62" s="302" t="n"/>
    </row>
    <row r="63">
      <c r="A63" s="302" t="n"/>
      <c r="B63" s="187" t="inlineStr">
        <is>
          <t>Enter other</t>
        </is>
      </c>
      <c r="C63" s="80" t="n"/>
      <c r="D63" s="1189" t="n">
        <v>0</v>
      </c>
      <c r="E63" s="1189" t="n">
        <v>0</v>
      </c>
      <c r="F63" s="1189" t="n">
        <v>0</v>
      </c>
      <c r="G63" s="1189" t="n">
        <v>0</v>
      </c>
      <c r="H63" s="1189" t="n">
        <v>0</v>
      </c>
      <c r="I63" s="1189" t="n">
        <v>0</v>
      </c>
      <c r="J63" s="1189" t="n">
        <v>0</v>
      </c>
      <c r="K63" s="1189" t="n">
        <v>0</v>
      </c>
      <c r="L63" s="1189" t="n">
        <v>0</v>
      </c>
      <c r="M63" s="1189" t="n">
        <v>0</v>
      </c>
      <c r="N63" s="1189" t="n">
        <v>0</v>
      </c>
      <c r="O63" s="1189" t="n">
        <v>0</v>
      </c>
      <c r="P63" s="1189" t="n">
        <v>0</v>
      </c>
      <c r="Q63" s="1177">
        <f>SUM(D63:P63)</f>
        <v/>
      </c>
      <c r="R63" s="302" t="n"/>
      <c r="S63" s="302" t="n"/>
      <c r="T63" s="302" t="n"/>
      <c r="U63" s="302" t="n"/>
      <c r="V63" s="302" t="n"/>
      <c r="W63" s="302" t="n"/>
      <c r="X63" s="302" t="n"/>
      <c r="Y63" s="302" t="n"/>
      <c r="Z63" s="302" t="n"/>
      <c r="AA63" s="302" t="n"/>
      <c r="AB63" s="302" t="n"/>
      <c r="AC63" s="302" t="n"/>
      <c r="AD63" s="302" t="n"/>
      <c r="AE63" s="302" t="n"/>
      <c r="AF63" s="302" t="n"/>
      <c r="AG63" s="302" t="n"/>
      <c r="AH63" s="302" t="n"/>
      <c r="AI63" s="302" t="n"/>
      <c r="AJ63" s="302" t="n"/>
      <c r="AK63" s="302" t="n"/>
    </row>
    <row r="64" ht="14.5" customHeight="1" thickBot="1">
      <c r="A64" s="302" t="n"/>
      <c r="B64" s="204" t="inlineStr">
        <is>
          <t>Enter other</t>
        </is>
      </c>
      <c r="C64" s="205" t="n"/>
      <c r="D64" s="1194" t="n">
        <v>0</v>
      </c>
      <c r="E64" s="1194" t="n">
        <v>0</v>
      </c>
      <c r="F64" s="1194" t="n">
        <v>0</v>
      </c>
      <c r="G64" s="1194" t="n">
        <v>0</v>
      </c>
      <c r="H64" s="1194" t="n">
        <v>0</v>
      </c>
      <c r="I64" s="1194" t="n">
        <v>0</v>
      </c>
      <c r="J64" s="1194" t="n">
        <v>0</v>
      </c>
      <c r="K64" s="1194" t="n">
        <v>0</v>
      </c>
      <c r="L64" s="1194" t="n">
        <v>0</v>
      </c>
      <c r="M64" s="1194" t="n">
        <v>0</v>
      </c>
      <c r="N64" s="1194" t="n">
        <v>0</v>
      </c>
      <c r="O64" s="1194" t="n">
        <v>0</v>
      </c>
      <c r="P64" s="1194" t="n">
        <v>0</v>
      </c>
      <c r="Q64" s="1180">
        <f>SUM(D64:P64)</f>
        <v/>
      </c>
      <c r="R64" s="302" t="n"/>
      <c r="S64" s="302" t="n"/>
      <c r="T64" s="302" t="n"/>
      <c r="U64" s="302" t="n"/>
      <c r="V64" s="302" t="n"/>
      <c r="W64" s="302" t="n"/>
      <c r="X64" s="302" t="n"/>
      <c r="Y64" s="302" t="n"/>
      <c r="Z64" s="302" t="n"/>
      <c r="AA64" s="302" t="n"/>
      <c r="AB64" s="302" t="n"/>
      <c r="AC64" s="302" t="n"/>
      <c r="AD64" s="302" t="n"/>
      <c r="AE64" s="302" t="n"/>
      <c r="AF64" s="302" t="n"/>
      <c r="AG64" s="302" t="n"/>
      <c r="AH64" s="302" t="n"/>
      <c r="AI64" s="302" t="n"/>
      <c r="AJ64" s="302" t="n"/>
      <c r="AK64" s="302" t="n"/>
    </row>
    <row r="65" ht="18.75" customFormat="1" customHeight="1" s="288" thickBot="1">
      <c r="A65" s="317" t="n"/>
      <c r="B65" s="1195" t="inlineStr">
        <is>
          <t>Total cash out-flows (B)</t>
        </is>
      </c>
      <c r="C65" s="1094" t="n"/>
      <c r="D65" s="1196">
        <f>SUM(D42:D64)</f>
        <v/>
      </c>
      <c r="E65" s="1196">
        <f>SUM(E42:E64)</f>
        <v/>
      </c>
      <c r="F65" s="1196">
        <f>SUM(F42:F64)</f>
        <v/>
      </c>
      <c r="G65" s="1196">
        <f>SUM(G42:G64)</f>
        <v/>
      </c>
      <c r="H65" s="1196">
        <f>SUM(H42:H64)</f>
        <v/>
      </c>
      <c r="I65" s="1196">
        <f>SUM(I42:I64)</f>
        <v/>
      </c>
      <c r="J65" s="1197">
        <f>SUM(J42:J64)</f>
        <v/>
      </c>
      <c r="K65" s="1198">
        <f>SUM(K42:K64)</f>
        <v/>
      </c>
      <c r="L65" s="1199">
        <f>SUM(L42:L64)</f>
        <v/>
      </c>
      <c r="M65" s="1199">
        <f>SUM(M42:M64)</f>
        <v/>
      </c>
      <c r="N65" s="1199">
        <f>SUM(N42:N64)</f>
        <v/>
      </c>
      <c r="O65" s="1199">
        <f>SUM(O42:O64)</f>
        <v/>
      </c>
      <c r="P65" s="1199">
        <f>SUM(P42:P64)</f>
        <v/>
      </c>
      <c r="Q65" s="1200">
        <f>SUM(D65:P65)</f>
        <v/>
      </c>
      <c r="R65" s="317" t="n"/>
      <c r="S65" s="317" t="n"/>
      <c r="T65" s="317" t="n"/>
      <c r="U65" s="317" t="n"/>
      <c r="V65" s="317" t="n"/>
      <c r="W65" s="317" t="n"/>
      <c r="X65" s="317" t="n"/>
      <c r="Y65" s="317" t="n"/>
      <c r="Z65" s="317" t="n"/>
      <c r="AA65" s="317" t="n"/>
      <c r="AB65" s="317" t="n"/>
      <c r="AC65" s="317" t="n"/>
      <c r="AD65" s="317" t="n"/>
      <c r="AE65" s="317" t="n"/>
      <c r="AF65" s="317" t="n"/>
      <c r="AG65" s="317" t="n"/>
      <c r="AH65" s="317" t="n"/>
      <c r="AI65" s="317" t="n"/>
      <c r="AJ65" s="317" t="n"/>
      <c r="AK65" s="317" t="n"/>
    </row>
    <row r="66" ht="20.25" customFormat="1" customHeight="1" s="269" thickBot="1">
      <c r="A66" s="302" t="n"/>
      <c r="B66" s="302" t="n"/>
      <c r="C66" s="302" t="n"/>
      <c r="D66" s="1058" t="n"/>
      <c r="E66" s="1058" t="n"/>
      <c r="F66" s="1058" t="n"/>
      <c r="G66" s="1058" t="n"/>
      <c r="H66" s="1058" t="n"/>
      <c r="I66" s="1058" t="n"/>
      <c r="J66" s="1058" t="n"/>
      <c r="K66" s="1058" t="n"/>
      <c r="L66" s="1058" t="n"/>
      <c r="M66" s="1058" t="n"/>
      <c r="N66" s="1058" t="n"/>
      <c r="O66" s="1058" t="n"/>
      <c r="P66" s="1058" t="n"/>
      <c r="Q66" s="1201" t="n"/>
      <c r="R66" s="302" t="n"/>
      <c r="S66" s="302" t="n"/>
      <c r="T66" s="302" t="n"/>
      <c r="U66" s="302" t="n"/>
      <c r="V66" s="302" t="n"/>
      <c r="W66" s="302" t="n"/>
      <c r="X66" s="302" t="n"/>
      <c r="Y66" s="302" t="n"/>
      <c r="Z66" s="302" t="n"/>
      <c r="AA66" s="302" t="n"/>
      <c r="AB66" s="302" t="n"/>
      <c r="AC66" s="302" t="n"/>
      <c r="AD66" s="302" t="n"/>
      <c r="AE66" s="302" t="n"/>
      <c r="AF66" s="302" t="n"/>
      <c r="AG66" s="302" t="n"/>
      <c r="AH66" s="302" t="n"/>
      <c r="AI66" s="302" t="n"/>
      <c r="AJ66" s="302" t="n"/>
      <c r="AK66" s="302" t="n"/>
    </row>
    <row r="67" ht="31.5" customFormat="1" customHeight="1" s="282" thickBot="1">
      <c r="A67" s="281" t="n"/>
      <c r="C67" s="212" t="inlineStr">
        <is>
          <t>Your net cash flow (A-B)</t>
        </is>
      </c>
      <c r="D67" s="1202">
        <f>D37-D65</f>
        <v/>
      </c>
      <c r="E67" s="1196">
        <f>E37-E65</f>
        <v/>
      </c>
      <c r="F67" s="1196">
        <f>F37-F65</f>
        <v/>
      </c>
      <c r="G67" s="1196">
        <f>G37-G65</f>
        <v/>
      </c>
      <c r="H67" s="1196">
        <f>H37-H65</f>
        <v/>
      </c>
      <c r="I67" s="1196">
        <f>I37-I65</f>
        <v/>
      </c>
      <c r="J67" s="1196">
        <f>J37-J65</f>
        <v/>
      </c>
      <c r="K67" s="1196">
        <f>K37-K65</f>
        <v/>
      </c>
      <c r="L67" s="1196">
        <f>L37-L65</f>
        <v/>
      </c>
      <c r="M67" s="1196">
        <f>M37-M65</f>
        <v/>
      </c>
      <c r="N67" s="1196">
        <f>N37-N65</f>
        <v/>
      </c>
      <c r="O67" s="1196">
        <f>O37-O65</f>
        <v/>
      </c>
      <c r="P67" s="1196">
        <f>P37-P65</f>
        <v/>
      </c>
      <c r="Q67" s="1185">
        <f>Q37-Q65</f>
        <v/>
      </c>
      <c r="R67" s="281" t="n"/>
      <c r="S67" s="281" t="n"/>
      <c r="T67" s="281" t="n"/>
      <c r="U67" s="281" t="n"/>
      <c r="V67" s="281" t="n"/>
      <c r="W67" s="281" t="n"/>
      <c r="X67" s="281" t="n"/>
      <c r="Y67" s="281" t="n"/>
      <c r="Z67" s="281" t="n"/>
      <c r="AA67" s="281" t="n"/>
      <c r="AB67" s="281" t="n"/>
      <c r="AC67" s="281" t="n"/>
      <c r="AD67" s="281" t="n"/>
      <c r="AE67" s="281" t="n"/>
      <c r="AF67" s="281" t="n"/>
      <c r="AG67" s="281" t="n"/>
      <c r="AH67" s="281" t="n"/>
      <c r="AI67" s="281" t="n"/>
      <c r="AJ67" s="281" t="n"/>
      <c r="AK67" s="281" t="n"/>
    </row>
    <row r="68" ht="21" customFormat="1" customHeight="1" s="269" thickBot="1">
      <c r="A68" s="302" t="n"/>
      <c r="B68" s="302" t="n"/>
      <c r="C68" s="319" t="n"/>
      <c r="D68" s="1203" t="n"/>
      <c r="E68" s="1203" t="n"/>
      <c r="F68" s="1203" t="n"/>
      <c r="G68" s="1203" t="n"/>
      <c r="H68" s="1203" t="n"/>
      <c r="I68" s="1203" t="n"/>
      <c r="J68" s="1203" t="n"/>
      <c r="K68" s="1203" t="n"/>
      <c r="L68" s="1203" t="n"/>
      <c r="M68" s="1203" t="n"/>
      <c r="N68" s="1203" t="n"/>
      <c r="O68" s="1203" t="n"/>
      <c r="P68" s="1203" t="n"/>
      <c r="Q68" s="1203" t="n"/>
      <c r="R68" s="302" t="n"/>
      <c r="S68" s="302" t="n"/>
      <c r="T68" s="302" t="n"/>
      <c r="U68" s="302" t="n"/>
      <c r="V68" s="302" t="n"/>
      <c r="W68" s="302" t="n"/>
      <c r="X68" s="302" t="n"/>
      <c r="Y68" s="302" t="n"/>
      <c r="Z68" s="302" t="n"/>
      <c r="AA68" s="302" t="n"/>
      <c r="AB68" s="302" t="n"/>
      <c r="AC68" s="302" t="n"/>
      <c r="AD68" s="302" t="n"/>
      <c r="AE68" s="302" t="n"/>
      <c r="AF68" s="302" t="n"/>
      <c r="AG68" s="302" t="n"/>
      <c r="AH68" s="302" t="n"/>
      <c r="AI68" s="302" t="n"/>
      <c r="AJ68" s="302" t="n"/>
      <c r="AK68" s="302" t="n"/>
    </row>
    <row r="69" ht="28.5" customHeight="1" thickBot="1">
      <c r="A69" s="302" t="n"/>
      <c r="B69" s="292" t="n"/>
      <c r="C69" s="214" t="inlineStr">
        <is>
          <t>Your monthly opening business bank account balance</t>
        </is>
      </c>
      <c r="D69" s="1204" t="n">
        <v>0</v>
      </c>
      <c r="E69" s="1196">
        <f>D71</f>
        <v/>
      </c>
      <c r="F69" s="1196">
        <f>E71</f>
        <v/>
      </c>
      <c r="G69" s="1196">
        <f>F71</f>
        <v/>
      </c>
      <c r="H69" s="1196">
        <f>G71</f>
        <v/>
      </c>
      <c r="I69" s="1196">
        <f>H71</f>
        <v/>
      </c>
      <c r="J69" s="1196">
        <f>I71</f>
        <v/>
      </c>
      <c r="K69" s="1196">
        <f>J71</f>
        <v/>
      </c>
      <c r="L69" s="1196">
        <f>K71</f>
        <v/>
      </c>
      <c r="M69" s="1196">
        <f>L71</f>
        <v/>
      </c>
      <c r="N69" s="1196">
        <f>M71</f>
        <v/>
      </c>
      <c r="O69" s="1196">
        <f>N71</f>
        <v/>
      </c>
      <c r="P69" s="1196">
        <f>O71</f>
        <v/>
      </c>
      <c r="Q69" s="1185">
        <f>P71</f>
        <v/>
      </c>
      <c r="R69" s="302" t="n"/>
      <c r="S69" s="302" t="n"/>
      <c r="T69" s="302" t="n"/>
      <c r="U69" s="302" t="n"/>
      <c r="V69" s="302" t="n"/>
      <c r="W69" s="302" t="n"/>
      <c r="X69" s="302" t="n"/>
      <c r="Y69" s="302" t="n"/>
      <c r="Z69" s="302" t="n"/>
      <c r="AA69" s="302" t="n"/>
      <c r="AB69" s="302" t="n"/>
      <c r="AC69" s="302" t="n"/>
      <c r="AD69" s="302" t="n"/>
      <c r="AE69" s="302" t="n"/>
      <c r="AF69" s="302" t="n"/>
      <c r="AG69" s="302" t="n"/>
      <c r="AH69" s="302" t="n"/>
      <c r="AI69" s="302" t="n"/>
      <c r="AJ69" s="302" t="n"/>
      <c r="AK69" s="302" t="n"/>
    </row>
    <row r="70" ht="14.5" customFormat="1" customHeight="1" s="269" thickBot="1">
      <c r="A70" s="302" t="n"/>
      <c r="B70" s="291" t="n"/>
      <c r="C70" s="15" t="n"/>
      <c r="D70" s="1203" t="n"/>
      <c r="E70" s="1203" t="n"/>
      <c r="F70" s="1203" t="n"/>
      <c r="G70" s="1203" t="n"/>
      <c r="H70" s="1203" t="n"/>
      <c r="I70" s="1203" t="n"/>
      <c r="J70" s="1203" t="n"/>
      <c r="K70" s="1203" t="n"/>
      <c r="L70" s="1203" t="n"/>
      <c r="M70" s="1203" t="n"/>
      <c r="N70" s="1203" t="n"/>
      <c r="O70" s="1203" t="n"/>
      <c r="P70" s="1203" t="n"/>
      <c r="Q70" s="1203" t="n"/>
      <c r="R70" s="302" t="n"/>
      <c r="S70" s="302" t="n"/>
      <c r="T70" s="302" t="n"/>
      <c r="U70" s="302" t="n"/>
      <c r="V70" s="302" t="n"/>
      <c r="W70" s="302" t="n"/>
      <c r="X70" s="302" t="n"/>
      <c r="Y70" s="302" t="n"/>
      <c r="Z70" s="302" t="n"/>
      <c r="AA70" s="302" t="n"/>
      <c r="AB70" s="302" t="n"/>
      <c r="AC70" s="302" t="n"/>
      <c r="AD70" s="302" t="n"/>
      <c r="AE70" s="302" t="n"/>
      <c r="AF70" s="302" t="n"/>
      <c r="AG70" s="302" t="n"/>
      <c r="AH70" s="302" t="n"/>
      <c r="AI70" s="302" t="n"/>
      <c r="AJ70" s="302" t="n"/>
      <c r="AK70" s="302" t="n"/>
    </row>
    <row r="71" ht="30.75" customHeight="1" thickBot="1">
      <c r="A71" s="302" t="n"/>
      <c r="B71" s="292" t="n"/>
      <c r="C71" s="214" t="inlineStr">
        <is>
          <t>Your closing cash position</t>
        </is>
      </c>
      <c r="D71" s="1205">
        <f>D67+D69</f>
        <v/>
      </c>
      <c r="E71" s="1196">
        <f>E67+E69</f>
        <v/>
      </c>
      <c r="F71" s="1196">
        <f>F67+F69</f>
        <v/>
      </c>
      <c r="G71" s="1196">
        <f>G67+G69</f>
        <v/>
      </c>
      <c r="H71" s="1196">
        <f>H67+H69</f>
        <v/>
      </c>
      <c r="I71" s="1196">
        <f>I67+I69</f>
        <v/>
      </c>
      <c r="J71" s="1196">
        <f>J67+J69</f>
        <v/>
      </c>
      <c r="K71" s="1196">
        <f>K67+K69</f>
        <v/>
      </c>
      <c r="L71" s="1196">
        <f>L67+L69</f>
        <v/>
      </c>
      <c r="M71" s="1196">
        <f>M67+M69</f>
        <v/>
      </c>
      <c r="N71" s="1196">
        <f>N67+N69</f>
        <v/>
      </c>
      <c r="O71" s="1196">
        <f>O67+O69</f>
        <v/>
      </c>
      <c r="P71" s="1196">
        <f>P67+P69</f>
        <v/>
      </c>
      <c r="Q71" s="1185">
        <f>Q69</f>
        <v/>
      </c>
      <c r="R71" s="302" t="n"/>
      <c r="S71" s="302" t="n"/>
      <c r="T71" s="302" t="n"/>
      <c r="U71" s="302" t="n"/>
      <c r="V71" s="302" t="n"/>
      <c r="W71" s="302" t="n"/>
      <c r="X71" s="302" t="n"/>
      <c r="Y71" s="302" t="n"/>
      <c r="Z71" s="302" t="n"/>
      <c r="AA71" s="302" t="n"/>
      <c r="AB71" s="302" t="n"/>
      <c r="AC71" s="302" t="n"/>
      <c r="AD71" s="302" t="n"/>
      <c r="AE71" s="302" t="n"/>
      <c r="AF71" s="302" t="n"/>
      <c r="AG71" s="302" t="n"/>
      <c r="AH71" s="302" t="n"/>
      <c r="AI71" s="302" t="n"/>
      <c r="AJ71" s="302" t="n"/>
      <c r="AK71" s="302" t="n"/>
    </row>
    <row r="72" customFormat="1" s="269">
      <c r="A72" s="302" t="n"/>
      <c r="B72" s="302" t="n"/>
      <c r="C72" s="302" t="n"/>
      <c r="D72" s="302" t="n"/>
      <c r="E72" s="302" t="n"/>
      <c r="F72" s="302" t="n"/>
      <c r="G72" s="302" t="n"/>
      <c r="H72" s="302" t="n"/>
      <c r="I72" s="302" t="n"/>
      <c r="J72" s="302" t="n"/>
      <c r="K72" s="302" t="n"/>
      <c r="L72" s="302" t="n"/>
      <c r="M72" s="302" t="n"/>
      <c r="N72" s="302" t="n"/>
      <c r="O72" s="302" t="n"/>
      <c r="P72" s="302" t="n"/>
      <c r="Q72" s="302" t="n"/>
      <c r="R72" s="302" t="n"/>
      <c r="S72" s="302" t="n"/>
      <c r="T72" s="302" t="n"/>
      <c r="U72" s="302" t="n"/>
      <c r="V72" s="302" t="n"/>
      <c r="W72" s="302" t="n"/>
      <c r="X72" s="302" t="n"/>
      <c r="Y72" s="302" t="n"/>
      <c r="Z72" s="302" t="n"/>
      <c r="AA72" s="302" t="n"/>
      <c r="AB72" s="302" t="n"/>
      <c r="AC72" s="302" t="n"/>
      <c r="AD72" s="302" t="n"/>
      <c r="AE72" s="302" t="n"/>
      <c r="AF72" s="302" t="n"/>
      <c r="AG72" s="302" t="n"/>
      <c r="AH72" s="302" t="n"/>
      <c r="AI72" s="302" t="n"/>
      <c r="AJ72" s="302" t="n"/>
      <c r="AK72" s="302" t="n"/>
    </row>
    <row r="73" hidden="1" customFormat="1" s="269">
      <c r="A73" s="302" t="n"/>
      <c r="B73" s="302" t="n"/>
      <c r="C73" s="330" t="inlineStr">
        <is>
          <t>Stress test at 10% reduction in revenue</t>
        </is>
      </c>
      <c r="D73" s="329">
        <f t="array" ref="D73">_xlfn.IFS(#REF!="Stress test at 10% reduction in revenue",0.9,#REF!="Stress test at 15% reduction in revenue",0.85,#REF!="Stress test at 20% reduction in revenue",0.8)</f>
        <v/>
      </c>
      <c r="E73" s="302" t="n"/>
      <c r="F73" s="302" t="n"/>
      <c r="G73" s="302" t="n"/>
      <c r="H73" s="302" t="n"/>
      <c r="I73" s="302" t="n"/>
      <c r="J73" s="302" t="n"/>
      <c r="K73" s="302" t="n"/>
      <c r="L73" s="302" t="n"/>
      <c r="M73" s="302" t="n"/>
      <c r="N73" s="302" t="n"/>
      <c r="O73" s="302" t="n"/>
      <c r="P73" s="302" t="n"/>
      <c r="Q73" s="302" t="n"/>
      <c r="R73" s="302" t="n"/>
      <c r="S73" s="302" t="n"/>
      <c r="T73" s="302" t="n"/>
      <c r="U73" s="302" t="n"/>
      <c r="V73" s="302" t="n"/>
      <c r="W73" s="302" t="n"/>
      <c r="X73" s="302" t="n"/>
      <c r="Y73" s="302" t="n"/>
      <c r="Z73" s="302" t="n"/>
      <c r="AA73" s="302" t="n"/>
      <c r="AB73" s="302" t="n"/>
      <c r="AC73" s="302" t="n"/>
      <c r="AD73" s="302" t="n"/>
      <c r="AE73" s="302" t="n"/>
      <c r="AF73" s="302" t="n"/>
      <c r="AG73" s="302" t="n"/>
      <c r="AH73" s="302" t="n"/>
      <c r="AI73" s="302" t="n"/>
      <c r="AJ73" s="302" t="n"/>
      <c r="AK73" s="302" t="n"/>
    </row>
    <row r="74" hidden="1" customFormat="1" s="269">
      <c r="A74" s="302" t="n"/>
      <c r="B74" s="302" t="n"/>
      <c r="C74" s="330" t="inlineStr">
        <is>
          <t>Stress test at 15% reduction in revenue</t>
        </is>
      </c>
      <c r="D74" s="302" t="n"/>
      <c r="E74" s="302" t="n"/>
      <c r="F74" s="302" t="n"/>
      <c r="G74" s="302" t="n"/>
      <c r="H74" s="302" t="n"/>
      <c r="I74" s="302" t="n"/>
      <c r="J74" s="302" t="n"/>
      <c r="K74" s="302" t="n"/>
      <c r="L74" s="302" t="n"/>
      <c r="M74" s="302" t="n"/>
      <c r="N74" s="302" t="n"/>
      <c r="O74" s="302" t="n"/>
      <c r="P74" s="302" t="n"/>
      <c r="Q74" s="302" t="n"/>
      <c r="R74" s="302" t="n"/>
      <c r="S74" s="302" t="n"/>
      <c r="T74" s="302" t="n"/>
      <c r="U74" s="302" t="n"/>
      <c r="V74" s="302" t="n"/>
      <c r="W74" s="302" t="n"/>
      <c r="X74" s="302" t="n"/>
      <c r="Y74" s="302" t="n"/>
      <c r="Z74" s="302" t="n"/>
      <c r="AA74" s="302" t="n"/>
      <c r="AB74" s="302" t="n"/>
      <c r="AC74" s="302" t="n"/>
      <c r="AD74" s="302" t="n"/>
      <c r="AE74" s="302" t="n"/>
      <c r="AF74" s="302" t="n"/>
      <c r="AG74" s="302" t="n"/>
      <c r="AH74" s="302" t="n"/>
      <c r="AI74" s="302" t="n"/>
      <c r="AJ74" s="302" t="n"/>
      <c r="AK74" s="302" t="n"/>
    </row>
    <row r="75" customFormat="1" s="269">
      <c r="A75" s="302" t="n"/>
      <c r="B75" s="302" t="n"/>
      <c r="C75" s="330" t="inlineStr">
        <is>
          <t>Stress test at 20% reduction in revenue</t>
        </is>
      </c>
      <c r="D75" s="302" t="n"/>
      <c r="E75" s="302" t="n"/>
      <c r="F75" s="302" t="n"/>
      <c r="G75" s="302" t="n"/>
      <c r="H75" s="302" t="n"/>
      <c r="I75" s="302" t="n"/>
      <c r="J75" s="302" t="n"/>
      <c r="K75" s="302" t="n"/>
      <c r="L75" s="302" t="n"/>
      <c r="M75" s="302" t="n"/>
      <c r="N75" s="302" t="n"/>
      <c r="O75" s="302" t="n"/>
      <c r="P75" s="302" t="n"/>
      <c r="Q75" s="302" t="n"/>
      <c r="R75" s="302" t="n"/>
      <c r="S75" s="302" t="n"/>
      <c r="T75" s="302" t="n"/>
      <c r="U75" s="302" t="n"/>
      <c r="V75" s="302" t="n"/>
      <c r="W75" s="302" t="n"/>
      <c r="X75" s="302" t="n"/>
      <c r="Y75" s="302" t="n"/>
      <c r="Z75" s="302" t="n"/>
      <c r="AA75" s="302" t="n"/>
      <c r="AB75" s="302" t="n"/>
      <c r="AC75" s="302" t="n"/>
      <c r="AD75" s="302" t="n"/>
      <c r="AE75" s="302" t="n"/>
      <c r="AF75" s="302" t="n"/>
      <c r="AG75" s="302" t="n"/>
      <c r="AH75" s="302" t="n"/>
      <c r="AI75" s="302" t="n"/>
      <c r="AJ75" s="302" t="n"/>
      <c r="AK75" s="302" t="n"/>
    </row>
    <row r="76" customFormat="1" s="269">
      <c r="A76" s="302" t="n"/>
      <c r="B76" s="302" t="n"/>
      <c r="C76" s="302" t="n"/>
      <c r="D76" s="302" t="n"/>
      <c r="E76" s="302" t="n"/>
      <c r="F76" s="302" t="n"/>
      <c r="G76" s="302" t="n"/>
      <c r="H76" s="302" t="n"/>
      <c r="I76" s="302" t="n"/>
      <c r="J76" s="302" t="n"/>
      <c r="K76" s="302" t="n"/>
      <c r="L76" s="302" t="n"/>
      <c r="M76" s="302" t="n"/>
      <c r="N76" s="302" t="n"/>
      <c r="O76" s="302" t="n"/>
      <c r="P76" s="302" t="n"/>
      <c r="Q76" s="302" t="n"/>
      <c r="R76" s="302" t="n"/>
      <c r="S76" s="302" t="n"/>
      <c r="T76" s="302" t="n"/>
      <c r="U76" s="302" t="n"/>
      <c r="V76" s="302" t="n"/>
      <c r="W76" s="302" t="n"/>
      <c r="X76" s="302" t="n"/>
      <c r="Y76" s="302" t="n"/>
      <c r="Z76" s="302" t="n"/>
      <c r="AA76" s="302" t="n"/>
      <c r="AB76" s="302" t="n"/>
      <c r="AC76" s="302" t="n"/>
      <c r="AD76" s="302" t="n"/>
      <c r="AE76" s="302" t="n"/>
      <c r="AF76" s="302" t="n"/>
      <c r="AG76" s="302" t="n"/>
      <c r="AH76" s="302" t="n"/>
      <c r="AI76" s="302" t="n"/>
      <c r="AJ76" s="302" t="n"/>
      <c r="AK76" s="302" t="n"/>
    </row>
    <row r="77" ht="14.5" customFormat="1" customHeight="1" s="269" thickBot="1">
      <c r="A77" s="302" t="n"/>
      <c r="B77" s="302" t="n"/>
      <c r="C77" s="302" t="n"/>
      <c r="D77" s="302" t="n"/>
      <c r="E77" s="302" t="n"/>
      <c r="F77" s="302" t="n"/>
      <c r="G77" s="302" t="n"/>
      <c r="H77" s="302" t="n"/>
      <c r="I77" s="302" t="n"/>
      <c r="J77" s="302" t="n"/>
      <c r="K77" s="302" t="n"/>
      <c r="L77" s="302" t="n"/>
      <c r="M77" s="302" t="n"/>
      <c r="N77" s="302" t="n"/>
      <c r="O77" s="302" t="n"/>
      <c r="P77" s="302" t="n"/>
      <c r="Q77" s="302" t="n"/>
      <c r="R77" s="302" t="n"/>
      <c r="S77" s="302" t="n"/>
      <c r="T77" s="302" t="n"/>
      <c r="U77" s="302" t="n"/>
      <c r="V77" s="302" t="n"/>
      <c r="W77" s="302" t="n"/>
      <c r="X77" s="302" t="n"/>
      <c r="Y77" s="302" t="n"/>
      <c r="Z77" s="302" t="n"/>
      <c r="AA77" s="302" t="n"/>
      <c r="AB77" s="302" t="n"/>
      <c r="AC77" s="302" t="n"/>
      <c r="AD77" s="302" t="n"/>
      <c r="AE77" s="302" t="n"/>
      <c r="AF77" s="302" t="n"/>
      <c r="AG77" s="302" t="n"/>
      <c r="AH77" s="302" t="n"/>
      <c r="AI77" s="302" t="n"/>
      <c r="AJ77" s="302" t="n"/>
      <c r="AK77" s="302" t="n"/>
    </row>
    <row r="78" ht="18" customHeight="1" thickBot="1">
      <c r="A78" s="302" t="n"/>
      <c r="B78" s="302" t="n"/>
      <c r="C78" s="1156" t="inlineStr">
        <is>
          <t>Your notes or commentary</t>
        </is>
      </c>
      <c r="D78" s="949" t="n"/>
      <c r="E78" s="949" t="n"/>
      <c r="F78" s="949" t="n"/>
      <c r="G78" s="949" t="n"/>
      <c r="H78" s="949" t="n"/>
      <c r="I78" s="949" t="n"/>
      <c r="J78" s="949" t="n"/>
      <c r="K78" s="949" t="n"/>
      <c r="L78" s="949" t="n"/>
      <c r="M78" s="950" t="n"/>
      <c r="N78" s="302" t="n"/>
      <c r="O78" s="302" t="n"/>
      <c r="P78" s="302" t="n"/>
      <c r="Q78" s="302" t="n"/>
      <c r="R78" s="302" t="n"/>
      <c r="S78" s="302" t="n"/>
      <c r="T78" s="302" t="n"/>
      <c r="U78" s="302" t="n"/>
      <c r="V78" s="302" t="n"/>
      <c r="W78" s="302" t="n"/>
      <c r="X78" s="302" t="n"/>
      <c r="Y78" s="302" t="n"/>
      <c r="Z78" s="302" t="n"/>
      <c r="AA78" s="302" t="n"/>
      <c r="AB78" s="302" t="n"/>
      <c r="AC78" s="302" t="n"/>
      <c r="AD78" s="302" t="n"/>
      <c r="AE78" s="302" t="n"/>
      <c r="AF78" s="302" t="n"/>
      <c r="AG78" s="302" t="n"/>
      <c r="AH78" s="302" t="n"/>
      <c r="AI78" s="302" t="n"/>
      <c r="AJ78" s="302" t="n"/>
      <c r="AK78" s="302" t="n"/>
    </row>
    <row r="79" ht="14.25" customHeight="1" thickBot="1">
      <c r="A79" s="302" t="n"/>
      <c r="B79" s="302" t="n"/>
      <c r="C79" s="1157" t="inlineStr">
        <is>
          <t>Use this space to explain any of the information you have provided in the fields above.</t>
        </is>
      </c>
      <c r="D79" s="949" t="n"/>
      <c r="E79" s="949" t="n"/>
      <c r="F79" s="949" t="n"/>
      <c r="G79" s="949" t="n"/>
      <c r="H79" s="949" t="n"/>
      <c r="I79" s="949" t="n"/>
      <c r="J79" s="949" t="n"/>
      <c r="K79" s="949" t="n"/>
      <c r="L79" s="949" t="n"/>
      <c r="M79" s="950" t="n"/>
      <c r="N79" s="302" t="n"/>
      <c r="O79" s="302" t="n"/>
      <c r="P79" s="302" t="n"/>
      <c r="Q79" s="302" t="n"/>
      <c r="R79" s="302" t="n"/>
      <c r="S79" s="302" t="n"/>
      <c r="T79" s="302" t="n"/>
      <c r="U79" s="302" t="n"/>
      <c r="V79" s="302" t="n"/>
      <c r="W79" s="302" t="n"/>
      <c r="X79" s="302" t="n"/>
      <c r="Y79" s="302" t="n"/>
      <c r="Z79" s="302" t="n"/>
      <c r="AA79" s="302" t="n"/>
      <c r="AB79" s="302" t="n"/>
      <c r="AC79" s="302" t="n"/>
      <c r="AD79" s="302" t="n"/>
      <c r="AE79" s="302" t="n"/>
      <c r="AF79" s="302" t="n"/>
      <c r="AG79" s="302" t="n"/>
      <c r="AH79" s="302" t="n"/>
      <c r="AI79" s="302" t="n"/>
      <c r="AJ79" s="302" t="n"/>
      <c r="AK79" s="302" t="n"/>
    </row>
    <row r="80" ht="153.25" customHeight="1" thickBot="1">
      <c r="A80" s="302" t="n"/>
      <c r="B80" s="302" t="n"/>
      <c r="C80" s="1206" t="inlineStr">
        <is>
          <t>The £25,000 loan is deployed entirely into stock: £22,000 in Month 1 (Cosmiko UK body wash + lotion high-MOQ order, Moroccan clay + argan oil, packaging) and £3,000 in Month 2 (Korean tools + Turkish Kese mitt). The founder personally funds all marketing, photography, insurance, and compliance from employment income (Meta £154,000 p.a., £22,000+ already invested pre-launch) — these do not flow through the business cash account. A £5,000 personal founder contribution in Month 2 bridges the early ramp period. From Month 3, business revenue covers all outflows without further personal injection. No salary drawn from business. Loan repayments ~£1,108/month (24-month term at 6% p.a.) fully serviceable from personal salary. Total loan interest: ~£1,592. Closing business cash at Month 12: approximately £76,400.</t>
        </is>
      </c>
      <c r="D80" s="1207" t="n"/>
      <c r="E80" s="1207" t="n"/>
      <c r="F80" s="1207" t="n"/>
      <c r="G80" s="1207" t="n"/>
      <c r="H80" s="1207" t="n"/>
      <c r="I80" s="1207" t="n"/>
      <c r="J80" s="1207" t="n"/>
      <c r="K80" s="1207" t="n"/>
      <c r="L80" s="1207" t="n"/>
      <c r="M80" s="1208" t="n"/>
      <c r="N80" s="302" t="n"/>
      <c r="O80" s="302" t="n"/>
      <c r="P80" s="302" t="n"/>
      <c r="Q80" s="302" t="n"/>
      <c r="R80" s="302" t="n"/>
      <c r="S80" s="302" t="n"/>
      <c r="T80" s="302" t="n"/>
      <c r="U80" s="302" t="n"/>
      <c r="V80" s="302" t="n"/>
      <c r="W80" s="302" t="n"/>
      <c r="X80" s="302" t="n"/>
      <c r="Y80" s="302" t="n"/>
      <c r="Z80" s="302" t="n"/>
      <c r="AA80" s="302" t="n"/>
      <c r="AB80" s="302" t="n"/>
      <c r="AC80" s="302" t="n"/>
      <c r="AD80" s="302" t="n"/>
      <c r="AE80" s="302" t="n"/>
      <c r="AF80" s="302" t="n"/>
      <c r="AG80" s="302" t="n"/>
      <c r="AH80" s="302" t="n"/>
      <c r="AI80" s="302" t="n"/>
      <c r="AJ80" s="302" t="n"/>
      <c r="AK80" s="302" t="n"/>
    </row>
    <row r="81">
      <c r="A81" s="302" t="n"/>
      <c r="B81" s="302" t="n"/>
      <c r="C81" s="302" t="n"/>
      <c r="D81" s="302" t="n"/>
      <c r="E81" s="302" t="n"/>
      <c r="F81" s="302" t="n"/>
      <c r="G81" s="302" t="n"/>
      <c r="H81" s="302" t="n"/>
      <c r="I81" s="302" t="n"/>
      <c r="J81" s="302" t="n"/>
      <c r="K81" s="302" t="n"/>
      <c r="L81" s="302" t="n"/>
      <c r="M81" s="302" t="n"/>
      <c r="N81" s="302" t="n"/>
      <c r="O81" s="302" t="n"/>
      <c r="P81" s="302" t="n"/>
      <c r="Q81" s="302" t="n"/>
      <c r="R81" s="302" t="n"/>
      <c r="S81" s="302" t="n"/>
      <c r="T81" s="302" t="n"/>
      <c r="U81" s="302" t="n"/>
      <c r="V81" s="302" t="n"/>
      <c r="W81" s="302" t="n"/>
      <c r="X81" s="302" t="n"/>
      <c r="Y81" s="302" t="n"/>
      <c r="Z81" s="302" t="n"/>
      <c r="AA81" s="302" t="n"/>
      <c r="AB81" s="302" t="n"/>
      <c r="AC81" s="302" t="n"/>
      <c r="AD81" s="302" t="n"/>
      <c r="AE81" s="302" t="n"/>
      <c r="AF81" s="302" t="n"/>
      <c r="AG81" s="302" t="n"/>
      <c r="AH81" s="302" t="n"/>
      <c r="AI81" s="302" t="n"/>
      <c r="AJ81" s="302" t="n"/>
      <c r="AK81" s="302" t="n"/>
    </row>
    <row r="82">
      <c r="A82" s="302" t="n"/>
      <c r="B82" s="302" t="n"/>
      <c r="C82" s="302" t="n"/>
      <c r="D82" s="302" t="n"/>
      <c r="E82" s="302" t="n"/>
      <c r="F82" s="302" t="n"/>
      <c r="G82" s="302" t="n"/>
      <c r="H82" s="302" t="n"/>
      <c r="I82" s="302" t="n"/>
      <c r="J82" s="302" t="n"/>
      <c r="K82" s="302" t="n"/>
      <c r="L82" s="302" t="n"/>
      <c r="M82" s="302" t="n"/>
      <c r="N82" s="302" t="n"/>
      <c r="O82" s="302" t="n"/>
      <c r="P82" s="302" t="n"/>
      <c r="Q82" s="302" t="n"/>
      <c r="R82" s="302" t="n"/>
      <c r="S82" s="302" t="n"/>
      <c r="T82" s="302" t="n"/>
      <c r="U82" s="302" t="n"/>
      <c r="V82" s="302" t="n"/>
      <c r="W82" s="302" t="n"/>
      <c r="X82" s="302" t="n"/>
      <c r="Y82" s="302" t="n"/>
      <c r="Z82" s="302" t="n"/>
      <c r="AA82" s="302" t="n"/>
      <c r="AB82" s="302" t="n"/>
      <c r="AC82" s="302" t="n"/>
      <c r="AD82" s="302" t="n"/>
      <c r="AE82" s="302" t="n"/>
      <c r="AF82" s="302" t="n"/>
      <c r="AG82" s="302" t="n"/>
      <c r="AH82" s="302" t="n"/>
      <c r="AI82" s="302" t="n"/>
      <c r="AJ82" s="302" t="n"/>
      <c r="AK82" s="302" t="n"/>
    </row>
    <row r="83">
      <c r="A83" s="302" t="n"/>
      <c r="B83" s="302" t="n"/>
      <c r="C83" s="302" t="n"/>
      <c r="D83" s="302" t="n"/>
      <c r="E83" s="302" t="n"/>
      <c r="F83" s="302" t="n"/>
      <c r="G83" s="302" t="n"/>
      <c r="H83" s="302" t="n"/>
      <c r="I83" s="302" t="n"/>
      <c r="J83" s="302" t="n"/>
      <c r="K83" s="302" t="n"/>
      <c r="L83" s="302" t="n"/>
      <c r="M83" s="302" t="n"/>
      <c r="N83" s="302" t="n"/>
      <c r="O83" s="302" t="n"/>
      <c r="P83" s="302" t="n"/>
      <c r="Q83" s="302" t="n"/>
      <c r="R83" s="302" t="n"/>
      <c r="S83" s="302" t="n"/>
      <c r="T83" s="302" t="n"/>
      <c r="U83" s="302" t="n"/>
      <c r="V83" s="302" t="n"/>
      <c r="W83" s="302" t="n"/>
      <c r="X83" s="302" t="n"/>
      <c r="Y83" s="302" t="n"/>
      <c r="Z83" s="302" t="n"/>
      <c r="AA83" s="302" t="n"/>
      <c r="AB83" s="302" t="n"/>
      <c r="AC83" s="302" t="n"/>
      <c r="AD83" s="302" t="n"/>
      <c r="AE83" s="302" t="n"/>
      <c r="AF83" s="302" t="n"/>
      <c r="AG83" s="302" t="n"/>
      <c r="AH83" s="302" t="n"/>
      <c r="AI83" s="302" t="n"/>
      <c r="AJ83" s="302" t="n"/>
      <c r="AK83" s="302" t="n"/>
    </row>
    <row r="84">
      <c r="A84" s="302" t="n"/>
      <c r="B84" s="302" t="n"/>
      <c r="C84" s="302" t="n"/>
      <c r="D84" s="302" t="n"/>
      <c r="E84" s="302" t="n"/>
      <c r="F84" s="302" t="n"/>
      <c r="G84" s="302" t="n"/>
      <c r="H84" s="302" t="n"/>
      <c r="I84" s="302" t="n"/>
      <c r="J84" s="302" t="n"/>
      <c r="K84" s="302" t="n"/>
      <c r="L84" s="302" t="n"/>
      <c r="M84" s="302" t="n"/>
      <c r="N84" s="302" t="n"/>
      <c r="O84" s="302" t="n"/>
      <c r="P84" s="302" t="n"/>
      <c r="Q84" s="302" t="n"/>
      <c r="R84" s="302" t="n"/>
      <c r="S84" s="302" t="n"/>
      <c r="T84" s="302" t="n"/>
      <c r="U84" s="302" t="n"/>
      <c r="V84" s="302" t="n"/>
      <c r="W84" s="302" t="n"/>
      <c r="X84" s="302" t="n"/>
      <c r="Y84" s="302" t="n"/>
      <c r="Z84" s="302" t="n"/>
      <c r="AA84" s="302" t="n"/>
      <c r="AB84" s="302" t="n"/>
      <c r="AC84" s="302" t="n"/>
      <c r="AD84" s="302" t="n"/>
      <c r="AE84" s="302" t="n"/>
      <c r="AF84" s="302" t="n"/>
      <c r="AG84" s="302" t="n"/>
      <c r="AH84" s="302" t="n"/>
      <c r="AI84" s="302" t="n"/>
      <c r="AJ84" s="302" t="n"/>
      <c r="AK84" s="302" t="n"/>
    </row>
    <row r="85">
      <c r="A85" s="302" t="n"/>
      <c r="B85" s="302" t="n"/>
      <c r="C85" s="302" t="n"/>
      <c r="D85" s="302" t="n"/>
      <c r="E85" s="302" t="n"/>
      <c r="F85" s="302" t="n"/>
      <c r="G85" s="302" t="n"/>
      <c r="H85" s="302" t="n"/>
      <c r="I85" s="302" t="n"/>
      <c r="J85" s="302" t="n"/>
      <c r="K85" s="302" t="n"/>
      <c r="L85" s="302" t="n"/>
      <c r="M85" s="302" t="n"/>
      <c r="N85" s="302" t="n"/>
      <c r="O85" s="302" t="n"/>
      <c r="P85" s="302" t="n"/>
      <c r="Q85" s="302" t="n"/>
      <c r="R85" s="302" t="n"/>
      <c r="S85" s="302" t="n"/>
      <c r="T85" s="302" t="n"/>
      <c r="U85" s="302" t="n"/>
      <c r="V85" s="302" t="n"/>
      <c r="W85" s="302" t="n"/>
      <c r="X85" s="302" t="n"/>
      <c r="Y85" s="302" t="n"/>
      <c r="Z85" s="302" t="n"/>
      <c r="AA85" s="302" t="n"/>
      <c r="AB85" s="302" t="n"/>
      <c r="AC85" s="302" t="n"/>
      <c r="AD85" s="302" t="n"/>
      <c r="AE85" s="302" t="n"/>
      <c r="AF85" s="302" t="n"/>
      <c r="AG85" s="302" t="n"/>
      <c r="AH85" s="302" t="n"/>
      <c r="AI85" s="302" t="n"/>
      <c r="AJ85" s="302" t="n"/>
      <c r="AK85" s="302" t="n"/>
    </row>
    <row r="86">
      <c r="A86" s="302" t="n"/>
      <c r="B86" s="302" t="n"/>
      <c r="C86" s="302" t="n"/>
      <c r="D86" s="302" t="n"/>
      <c r="E86" s="302" t="n"/>
      <c r="F86" s="302" t="n"/>
      <c r="G86" s="302" t="n"/>
      <c r="H86" s="302" t="n"/>
      <c r="I86" s="302" t="n"/>
      <c r="J86" s="302" t="n"/>
      <c r="K86" s="302" t="n"/>
      <c r="L86" s="302" t="n"/>
      <c r="M86" s="302" t="n"/>
      <c r="N86" s="302" t="n"/>
      <c r="O86" s="302" t="n"/>
      <c r="P86" s="302" t="n"/>
      <c r="Q86" s="302" t="n"/>
      <c r="R86" s="302" t="n"/>
      <c r="S86" s="302" t="n"/>
      <c r="T86" s="302" t="n"/>
      <c r="U86" s="302" t="n"/>
      <c r="V86" s="302" t="n"/>
      <c r="W86" s="302" t="n"/>
      <c r="X86" s="302" t="n"/>
      <c r="Y86" s="302" t="n"/>
      <c r="Z86" s="302" t="n"/>
      <c r="AA86" s="302" t="n"/>
      <c r="AB86" s="302" t="n"/>
      <c r="AC86" s="302" t="n"/>
      <c r="AD86" s="302" t="n"/>
      <c r="AE86" s="302" t="n"/>
      <c r="AF86" s="302" t="n"/>
      <c r="AG86" s="302" t="n"/>
      <c r="AH86" s="302" t="n"/>
      <c r="AI86" s="302" t="n"/>
      <c r="AJ86" s="302" t="n"/>
      <c r="AK86" s="302" t="n"/>
    </row>
    <row r="87">
      <c r="A87" s="302" t="n"/>
      <c r="B87" s="302" t="n"/>
      <c r="C87" s="302" t="n"/>
      <c r="D87" s="302" t="n"/>
      <c r="E87" s="302" t="n"/>
      <c r="F87" s="302" t="n"/>
      <c r="G87" s="302" t="n"/>
      <c r="H87" s="302" t="n"/>
      <c r="I87" s="302" t="n"/>
      <c r="J87" s="302" t="n"/>
      <c r="K87" s="302" t="n"/>
      <c r="L87" s="302" t="n"/>
      <c r="M87" s="302" t="n"/>
      <c r="N87" s="302" t="n"/>
      <c r="O87" s="302" t="n"/>
      <c r="P87" s="302" t="n"/>
      <c r="Q87" s="302" t="n"/>
      <c r="R87" s="302" t="n"/>
      <c r="S87" s="302" t="n"/>
      <c r="T87" s="302" t="n"/>
      <c r="U87" s="302" t="n"/>
      <c r="V87" s="302" t="n"/>
      <c r="W87" s="302" t="n"/>
      <c r="X87" s="302" t="n"/>
      <c r="Y87" s="302" t="n"/>
      <c r="Z87" s="302" t="n"/>
      <c r="AA87" s="302" t="n"/>
      <c r="AB87" s="302" t="n"/>
      <c r="AC87" s="302" t="n"/>
      <c r="AD87" s="302" t="n"/>
      <c r="AE87" s="302" t="n"/>
      <c r="AF87" s="302" t="n"/>
      <c r="AG87" s="302" t="n"/>
      <c r="AH87" s="302" t="n"/>
      <c r="AI87" s="302" t="n"/>
      <c r="AJ87" s="302" t="n"/>
      <c r="AK87" s="302" t="n"/>
    </row>
    <row r="88" hidden="1">
      <c r="A88" s="302" t="n"/>
      <c r="B88" s="292" t="n"/>
      <c r="C88" s="292" t="n"/>
      <c r="D88" s="292" t="n"/>
      <c r="E88" s="292" t="n"/>
      <c r="F88" s="292" t="n"/>
      <c r="G88" s="292" t="n"/>
      <c r="H88" s="292" t="n"/>
      <c r="I88" s="292" t="n"/>
      <c r="J88" s="292" t="n"/>
      <c r="K88" s="292" t="n"/>
      <c r="L88" s="292" t="n"/>
      <c r="M88" s="292" t="n"/>
      <c r="N88" s="292" t="n"/>
      <c r="O88" s="292" t="n"/>
      <c r="P88" s="292" t="n"/>
      <c r="Q88" s="292" t="n"/>
      <c r="R88" s="302" t="n"/>
      <c r="S88" s="302" t="n"/>
      <c r="T88" s="302" t="n"/>
      <c r="U88" s="302" t="n"/>
      <c r="V88" s="302" t="n"/>
      <c r="W88" s="302" t="n"/>
      <c r="X88" s="302" t="n"/>
      <c r="Y88" s="302" t="n"/>
      <c r="Z88" s="302" t="n"/>
      <c r="AA88" s="302" t="n"/>
      <c r="AB88" s="302" t="n"/>
      <c r="AC88" s="302" t="n"/>
      <c r="AD88" s="302" t="n"/>
      <c r="AE88" s="302" t="n"/>
      <c r="AF88" s="302" t="n"/>
      <c r="AG88" s="302" t="n"/>
      <c r="AH88" s="302" t="n"/>
      <c r="AI88" s="302" t="n"/>
      <c r="AJ88" s="302" t="n"/>
      <c r="AK88" s="302" t="n"/>
    </row>
    <row r="89" hidden="1">
      <c r="A89" s="302" t="n"/>
      <c r="B89" s="292" t="inlineStr">
        <is>
          <t>January</t>
        </is>
      </c>
      <c r="C89" s="292" t="n"/>
      <c r="D89" s="292" t="n"/>
      <c r="E89" s="292" t="n"/>
      <c r="F89" s="292" t="n"/>
      <c r="G89" s="292" t="n"/>
      <c r="H89" s="292" t="n"/>
      <c r="I89" s="292" t="n"/>
      <c r="J89" s="292" t="n"/>
      <c r="K89" s="292" t="n"/>
      <c r="L89" s="292" t="n"/>
      <c r="M89" s="292" t="n"/>
      <c r="N89" s="292" t="n"/>
      <c r="O89" s="292" t="n"/>
      <c r="P89" s="292" t="n"/>
      <c r="Q89" s="292" t="n"/>
      <c r="R89" s="302" t="n"/>
      <c r="S89" s="302" t="n"/>
      <c r="T89" s="302" t="n"/>
      <c r="U89" s="302" t="n"/>
      <c r="V89" s="302" t="n"/>
      <c r="W89" s="302" t="n"/>
      <c r="X89" s="302" t="n"/>
      <c r="Y89" s="302" t="n"/>
      <c r="Z89" s="302" t="n"/>
      <c r="AA89" s="302" t="n"/>
      <c r="AB89" s="302" t="n"/>
      <c r="AC89" s="302" t="n"/>
      <c r="AD89" s="302" t="n"/>
      <c r="AE89" s="302" t="n"/>
      <c r="AF89" s="302" t="n"/>
      <c r="AG89" s="302" t="n"/>
      <c r="AH89" s="302" t="n"/>
      <c r="AI89" s="302" t="n"/>
      <c r="AJ89" s="302" t="n"/>
      <c r="AK89" s="302" t="n"/>
    </row>
    <row r="90" hidden="1">
      <c r="A90" s="302" t="n"/>
      <c r="B90" s="292" t="inlineStr">
        <is>
          <t>February</t>
        </is>
      </c>
      <c r="C90" s="292" t="n"/>
      <c r="D90" s="292" t="n"/>
      <c r="E90" s="292" t="n"/>
      <c r="F90" s="292" t="n"/>
      <c r="G90" s="292" t="n"/>
      <c r="H90" s="292" t="n"/>
      <c r="I90" s="292" t="n"/>
      <c r="J90" s="292" t="n"/>
      <c r="K90" s="292" t="n"/>
      <c r="L90" s="292" t="n"/>
      <c r="M90" s="292" t="n"/>
      <c r="N90" s="292" t="n"/>
      <c r="O90" s="292" t="n"/>
      <c r="P90" s="292" t="n"/>
      <c r="Q90" s="292" t="n"/>
      <c r="R90" s="302" t="n"/>
      <c r="S90" s="302" t="n"/>
      <c r="T90" s="302" t="n"/>
      <c r="U90" s="302" t="n"/>
      <c r="V90" s="302" t="n"/>
      <c r="W90" s="302" t="n"/>
      <c r="X90" s="302" t="n"/>
      <c r="Y90" s="302" t="n"/>
      <c r="Z90" s="302" t="n"/>
      <c r="AA90" s="302" t="n"/>
      <c r="AB90" s="302" t="n"/>
      <c r="AC90" s="302" t="n"/>
      <c r="AD90" s="302" t="n"/>
      <c r="AE90" s="302" t="n"/>
      <c r="AF90" s="302" t="n"/>
      <c r="AG90" s="302" t="n"/>
      <c r="AH90" s="302" t="n"/>
      <c r="AI90" s="302" t="n"/>
      <c r="AJ90" s="302" t="n"/>
      <c r="AK90" s="302" t="n"/>
    </row>
    <row r="91" hidden="1">
      <c r="A91" s="302" t="n"/>
      <c r="B91" s="292" t="inlineStr">
        <is>
          <t>March</t>
        </is>
      </c>
      <c r="C91" s="292" t="n"/>
      <c r="D91" s="292" t="n"/>
      <c r="E91" s="292" t="n"/>
      <c r="F91" s="292" t="n"/>
      <c r="G91" s="292" t="n"/>
      <c r="H91" s="292" t="n"/>
      <c r="I91" s="292" t="n"/>
      <c r="J91" s="292" t="n"/>
      <c r="K91" s="292" t="n"/>
      <c r="L91" s="292" t="n"/>
      <c r="M91" s="292" t="n"/>
      <c r="N91" s="292" t="n"/>
      <c r="O91" s="292" t="n"/>
      <c r="P91" s="292" t="n"/>
      <c r="Q91" s="292" t="n"/>
      <c r="R91" s="302" t="n"/>
      <c r="S91" s="302" t="n"/>
      <c r="T91" s="302" t="n"/>
      <c r="U91" s="302" t="n"/>
      <c r="V91" s="302" t="n"/>
      <c r="W91" s="302" t="n"/>
      <c r="X91" s="302" t="n"/>
      <c r="Y91" s="302" t="n"/>
      <c r="Z91" s="302" t="n"/>
      <c r="AA91" s="302" t="n"/>
      <c r="AB91" s="302" t="n"/>
      <c r="AC91" s="302" t="n"/>
      <c r="AD91" s="302" t="n"/>
      <c r="AE91" s="302" t="n"/>
      <c r="AF91" s="302" t="n"/>
      <c r="AG91" s="302" t="n"/>
      <c r="AH91" s="302" t="n"/>
      <c r="AI91" s="302" t="n"/>
      <c r="AJ91" s="302" t="n"/>
      <c r="AK91" s="302" t="n"/>
    </row>
    <row r="92" hidden="1">
      <c r="A92" s="302" t="n"/>
      <c r="B92" s="292" t="inlineStr">
        <is>
          <t>April</t>
        </is>
      </c>
      <c r="C92" s="292" t="n"/>
      <c r="D92" s="292" t="n"/>
      <c r="E92" s="292" t="n"/>
      <c r="F92" s="292" t="n"/>
      <c r="G92" s="292" t="n"/>
      <c r="H92" s="292" t="n"/>
      <c r="I92" s="292" t="n"/>
      <c r="J92" s="292" t="n"/>
      <c r="K92" s="292" t="n"/>
      <c r="L92" s="292" t="n"/>
      <c r="M92" s="292" t="n"/>
      <c r="N92" s="292" t="n"/>
      <c r="O92" s="292" t="n"/>
      <c r="P92" s="292" t="n"/>
      <c r="Q92" s="292" t="n"/>
      <c r="R92" s="302" t="n"/>
      <c r="S92" s="302" t="n"/>
      <c r="T92" s="302" t="n"/>
      <c r="U92" s="302" t="n"/>
      <c r="V92" s="302" t="n"/>
      <c r="W92" s="302" t="n"/>
      <c r="X92" s="302" t="n"/>
      <c r="Y92" s="302" t="n"/>
      <c r="Z92" s="302" t="n"/>
      <c r="AA92" s="302" t="n"/>
      <c r="AB92" s="302" t="n"/>
      <c r="AC92" s="302" t="n"/>
      <c r="AD92" s="302" t="n"/>
      <c r="AE92" s="302" t="n"/>
      <c r="AF92" s="302" t="n"/>
      <c r="AG92" s="302" t="n"/>
      <c r="AH92" s="302" t="n"/>
      <c r="AI92" s="302" t="n"/>
      <c r="AJ92" s="302" t="n"/>
      <c r="AK92" s="302" t="n"/>
    </row>
    <row r="93" hidden="1">
      <c r="A93" s="302" t="n"/>
      <c r="B93" s="292" t="inlineStr">
        <is>
          <t>May</t>
        </is>
      </c>
      <c r="C93" s="292" t="n"/>
      <c r="D93" s="292" t="n"/>
      <c r="E93" s="292" t="n"/>
      <c r="F93" s="292" t="n"/>
      <c r="G93" s="292" t="n"/>
      <c r="H93" s="292" t="n"/>
      <c r="I93" s="292" t="n"/>
      <c r="J93" s="292" t="n"/>
      <c r="K93" s="292" t="n"/>
      <c r="L93" s="292" t="n"/>
      <c r="M93" s="292" t="n"/>
      <c r="N93" s="292" t="n"/>
      <c r="O93" s="292" t="n"/>
      <c r="P93" s="292" t="n"/>
      <c r="Q93" s="292" t="n"/>
      <c r="R93" s="302" t="n"/>
      <c r="S93" s="302" t="n"/>
      <c r="T93" s="302" t="n"/>
      <c r="U93" s="302" t="n"/>
      <c r="V93" s="302" t="n"/>
      <c r="W93" s="302" t="n"/>
      <c r="X93" s="302" t="n"/>
      <c r="Y93" s="302" t="n"/>
      <c r="Z93" s="302" t="n"/>
      <c r="AA93" s="302" t="n"/>
      <c r="AB93" s="302" t="n"/>
      <c r="AC93" s="302" t="n"/>
      <c r="AD93" s="302" t="n"/>
      <c r="AE93" s="302" t="n"/>
      <c r="AF93" s="302" t="n"/>
      <c r="AG93" s="302" t="n"/>
      <c r="AH93" s="302" t="n"/>
      <c r="AI93" s="302" t="n"/>
      <c r="AJ93" s="302" t="n"/>
      <c r="AK93" s="302" t="n"/>
    </row>
    <row r="94" hidden="1">
      <c r="A94" s="302" t="n"/>
      <c r="B94" s="292" t="inlineStr">
        <is>
          <t>June</t>
        </is>
      </c>
      <c r="C94" s="292" t="n"/>
      <c r="D94" s="292" t="n"/>
      <c r="E94" s="292" t="n"/>
      <c r="F94" s="292" t="n"/>
      <c r="G94" s="292" t="n"/>
      <c r="H94" s="292" t="n"/>
      <c r="I94" s="292" t="n"/>
      <c r="J94" s="292" t="n"/>
      <c r="K94" s="292" t="n"/>
      <c r="L94" s="292" t="n"/>
      <c r="M94" s="292" t="n"/>
      <c r="N94" s="292" t="n"/>
      <c r="O94" s="292" t="n"/>
      <c r="P94" s="292" t="n"/>
      <c r="Q94" s="292" t="n"/>
      <c r="R94" s="302" t="n"/>
      <c r="S94" s="302" t="n"/>
      <c r="T94" s="302" t="n"/>
      <c r="U94" s="302" t="n"/>
      <c r="V94" s="302" t="n"/>
      <c r="W94" s="302" t="n"/>
      <c r="X94" s="302" t="n"/>
      <c r="Y94" s="302" t="n"/>
      <c r="Z94" s="302" t="n"/>
      <c r="AA94" s="302" t="n"/>
      <c r="AB94" s="302" t="n"/>
      <c r="AC94" s="302" t="n"/>
      <c r="AD94" s="302" t="n"/>
      <c r="AE94" s="302" t="n"/>
      <c r="AF94" s="302" t="n"/>
      <c r="AG94" s="302" t="n"/>
      <c r="AH94" s="302" t="n"/>
      <c r="AI94" s="302" t="n"/>
      <c r="AJ94" s="302" t="n"/>
      <c r="AK94" s="302" t="n"/>
    </row>
    <row r="95" hidden="1">
      <c r="A95" s="302" t="n"/>
      <c r="B95" s="292" t="inlineStr">
        <is>
          <t>July</t>
        </is>
      </c>
      <c r="C95" s="292" t="n"/>
      <c r="D95" s="292" t="n"/>
      <c r="E95" s="292" t="n"/>
      <c r="F95" s="292" t="n"/>
      <c r="G95" s="292" t="n"/>
      <c r="H95" s="292" t="n"/>
      <c r="I95" s="292" t="n"/>
      <c r="J95" s="292" t="n"/>
      <c r="K95" s="292" t="n"/>
      <c r="L95" s="292" t="n"/>
      <c r="M95" s="292" t="n"/>
      <c r="N95" s="292" t="n"/>
      <c r="O95" s="292" t="n"/>
      <c r="P95" s="292" t="n"/>
      <c r="Q95" s="292" t="n"/>
      <c r="R95" s="302" t="n"/>
      <c r="S95" s="302" t="n"/>
      <c r="T95" s="302" t="n"/>
      <c r="U95" s="302" t="n"/>
      <c r="V95" s="302" t="n"/>
      <c r="W95" s="302" t="n"/>
      <c r="X95" s="302" t="n"/>
      <c r="Y95" s="302" t="n"/>
      <c r="Z95" s="302" t="n"/>
      <c r="AA95" s="302" t="n"/>
      <c r="AB95" s="302" t="n"/>
      <c r="AC95" s="302" t="n"/>
      <c r="AD95" s="302" t="n"/>
      <c r="AE95" s="302" t="n"/>
      <c r="AF95" s="302" t="n"/>
      <c r="AG95" s="302" t="n"/>
      <c r="AH95" s="302" t="n"/>
      <c r="AI95" s="302" t="n"/>
      <c r="AJ95" s="302" t="n"/>
      <c r="AK95" s="302" t="n"/>
    </row>
    <row r="96" hidden="1">
      <c r="A96" s="302" t="n"/>
      <c r="B96" s="292" t="inlineStr">
        <is>
          <t>August</t>
        </is>
      </c>
      <c r="C96" s="292" t="n"/>
      <c r="D96" s="292" t="n"/>
      <c r="E96" s="292" t="n"/>
      <c r="F96" s="292" t="n"/>
      <c r="G96" s="292" t="n"/>
      <c r="H96" s="292" t="n"/>
      <c r="I96" s="292" t="n"/>
      <c r="J96" s="292" t="n"/>
      <c r="K96" s="292" t="n"/>
      <c r="L96" s="292" t="n"/>
      <c r="M96" s="292" t="n"/>
      <c r="N96" s="292" t="n"/>
      <c r="O96" s="292" t="n"/>
      <c r="P96" s="292" t="n"/>
      <c r="Q96" s="292" t="n"/>
      <c r="R96" s="302" t="n"/>
      <c r="S96" s="302" t="n"/>
      <c r="T96" s="302" t="n"/>
      <c r="U96" s="302" t="n"/>
      <c r="V96" s="302" t="n"/>
      <c r="W96" s="302" t="n"/>
      <c r="X96" s="302" t="n"/>
      <c r="Y96" s="302" t="n"/>
      <c r="Z96" s="302" t="n"/>
      <c r="AA96" s="302" t="n"/>
      <c r="AB96" s="302" t="n"/>
      <c r="AC96" s="302" t="n"/>
      <c r="AD96" s="302" t="n"/>
      <c r="AE96" s="302" t="n"/>
      <c r="AF96" s="302" t="n"/>
      <c r="AG96" s="302" t="n"/>
      <c r="AH96" s="302" t="n"/>
      <c r="AI96" s="302" t="n"/>
      <c r="AJ96" s="302" t="n"/>
      <c r="AK96" s="302" t="n"/>
    </row>
    <row r="97" hidden="1">
      <c r="B97" s="292" t="inlineStr">
        <is>
          <t>September</t>
        </is>
      </c>
    </row>
    <row r="98" hidden="1">
      <c r="B98" s="292" t="inlineStr">
        <is>
          <t>October</t>
        </is>
      </c>
    </row>
    <row r="99" hidden="1">
      <c r="B99" s="292" t="inlineStr">
        <is>
          <t>November</t>
        </is>
      </c>
    </row>
    <row r="100" hidden="1">
      <c r="B100" s="292" t="inlineStr">
        <is>
          <t>December</t>
        </is>
      </c>
    </row>
    <row r="101" hidden="1">
      <c r="B101" s="292" t="n"/>
    </row>
  </sheetData>
  <mergeCells count="12">
    <mergeCell ref="C79:M79"/>
    <mergeCell ref="B8:M15"/>
    <mergeCell ref="E24:P24"/>
    <mergeCell ref="P15:Q15"/>
    <mergeCell ref="B37:C37"/>
    <mergeCell ref="C6:J6"/>
    <mergeCell ref="P14:Q14"/>
    <mergeCell ref="C5:J5"/>
    <mergeCell ref="E40:P40"/>
    <mergeCell ref="B65:C65"/>
    <mergeCell ref="C80:M80"/>
    <mergeCell ref="C78:M78"/>
  </mergeCells>
  <dataValidations xWindow="707" yWindow="786" count="3">
    <dataValidation sqref="C23" showDropDown="0" showInputMessage="1" showErrorMessage="1" allowBlank="1" type="list">
      <formula1>$B$89:$B$100</formula1>
    </dataValidation>
    <dataValidation sqref="C20" showDropDown="0" showInputMessage="1" showErrorMessage="1" allowBlank="1" prompt="Please choose from 12 months (1yr) up to 60 months (5yrs)"/>
    <dataValidation sqref="C18" showDropDown="0" showInputMessage="1" showErrorMessage="1" allowBlank="1" prompt="The minimum you can borrow is £500 up to a maximum of £25,000"/>
  </dataValidations>
  <printOptions horizontalCentered="1"/>
  <pageMargins left="0.7086614173228347" right="0.7086614173228347" top="0.7480314960629921" bottom="0.7480314960629921" header="0.3149606299212598" footer="0.3149606299212598"/>
  <pageSetup orientation="landscape" paperSize="9" scale="50"/>
  <rowBreaks count="1" manualBreakCount="1">
    <brk id="75" min="0" max="17" man="1"/>
  </rowBreaks>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tabColor theme="5"/>
    <outlinePr summaryBelow="1" summaryRight="1"/>
    <pageSetUpPr/>
  </sheetPr>
  <dimension ref="A1:AD66"/>
  <sheetViews>
    <sheetView view="pageBreakPreview" zoomScale="85" zoomScaleNormal="85" zoomScaleSheetLayoutView="85" workbookViewId="0">
      <selection activeCell="B49" sqref="B49"/>
    </sheetView>
  </sheetViews>
  <sheetFormatPr baseColWidth="8" defaultColWidth="8.58203125" defaultRowHeight="14"/>
  <cols>
    <col width="4.33203125" customWidth="1" style="356" min="1" max="1"/>
    <col width="42.5" customWidth="1" style="395" min="2" max="2"/>
    <col width="40.83203125" customWidth="1" style="395" min="3" max="3"/>
    <col width="17.08203125" customWidth="1" style="395" min="4" max="4"/>
    <col width="10.33203125" customWidth="1" style="395" min="5" max="5"/>
    <col width="9.08203125" customWidth="1" style="395" min="6" max="10"/>
    <col width="20.5" customWidth="1" style="395" min="11" max="11"/>
    <col width="4.83203125" customWidth="1" style="356" min="12" max="12"/>
    <col width="8.58203125" customWidth="1" style="356" min="13" max="30"/>
    <col width="8.58203125" customWidth="1" style="395" min="31" max="16384"/>
  </cols>
  <sheetData>
    <row r="1" ht="17.25" customFormat="1" customHeight="1" s="356" thickBot="1">
      <c r="B1" s="357" t="n"/>
      <c r="C1" s="357" t="n"/>
      <c r="D1" s="357" t="n"/>
      <c r="E1" s="357" t="n"/>
      <c r="F1" s="357" t="n"/>
      <c r="G1" s="357" t="n"/>
      <c r="H1" s="357" t="n"/>
      <c r="I1" s="357" t="n"/>
      <c r="J1" s="357" t="n"/>
      <c r="K1" s="357" t="n"/>
    </row>
    <row r="2" ht="17.25" customFormat="1" customHeight="1" s="356" thickTop="1">
      <c r="B2" s="358" t="n"/>
      <c r="C2" s="358" t="n"/>
      <c r="D2" s="358" t="n"/>
      <c r="E2" s="358" t="n"/>
      <c r="F2" s="358" t="n"/>
      <c r="G2" s="358" t="n"/>
      <c r="H2" s="358" t="n"/>
      <c r="I2" s="358" t="n"/>
      <c r="J2" s="358" t="n"/>
      <c r="K2" s="358" t="n"/>
    </row>
    <row r="3" ht="21" customFormat="1" customHeight="1" s="359">
      <c r="B3" s="360" t="inlineStr">
        <is>
          <t>ACTUAL CASH FLOWS: SIX-MONTHS</t>
        </is>
      </c>
      <c r="C3" s="360" t="n"/>
      <c r="D3" s="361" t="n"/>
      <c r="E3" s="362" t="n"/>
      <c r="F3" s="363" t="n"/>
      <c r="G3" s="363" t="n"/>
      <c r="I3" s="363" t="n"/>
      <c r="K3" s="363" t="n"/>
    </row>
    <row r="4" ht="33" customFormat="1" customHeight="1" s="359">
      <c r="B4" s="361" t="n"/>
      <c r="C4" s="361" t="n"/>
      <c r="D4" s="361" t="n"/>
      <c r="E4" s="362" t="n"/>
      <c r="F4" s="363" t="n"/>
      <c r="G4" s="363" t="n"/>
      <c r="K4" s="363" t="n"/>
    </row>
    <row r="5" ht="22.5" customFormat="1" customHeight="1" s="356">
      <c r="B5" s="364" t="inlineStr">
        <is>
          <t>Enter your full name</t>
        </is>
      </c>
      <c r="C5" s="365" t="n"/>
      <c r="D5" s="365" t="n"/>
      <c r="E5" s="365" t="n"/>
      <c r="F5" s="365" t="n"/>
      <c r="G5" s="365" t="n"/>
      <c r="I5" s="366" t="inlineStr">
        <is>
          <t>Key:</t>
        </is>
      </c>
      <c r="J5" s="367" t="n"/>
      <c r="K5" s="368" t="n"/>
      <c r="L5" s="363" t="n"/>
      <c r="M5" s="359" t="n"/>
      <c r="N5" s="359" t="n"/>
      <c r="O5" s="359" t="n"/>
      <c r="P5" s="359" t="n"/>
      <c r="Q5" s="359" t="n"/>
    </row>
    <row r="6" ht="25.5" customFormat="1" customHeight="1" s="356">
      <c r="B6" s="364" t="inlineStr">
        <is>
          <t>Enter your company name</t>
        </is>
      </c>
      <c r="C6" s="365" t="n"/>
      <c r="D6" s="365" t="n"/>
      <c r="E6" s="369" t="n"/>
      <c r="F6" s="370" t="n"/>
      <c r="G6" s="370" t="n"/>
      <c r="I6" s="371" t="n"/>
      <c r="J6" s="908" t="inlineStr">
        <is>
          <t>These cells auto-calculate and are locked so you can't edit them.</t>
        </is>
      </c>
      <c r="K6" s="1209" t="n"/>
      <c r="L6" s="363" t="n"/>
      <c r="M6" s="359" t="n"/>
      <c r="N6" s="359" t="n"/>
      <c r="O6" s="359" t="n"/>
      <c r="P6" s="359" t="n"/>
      <c r="Q6" s="359" t="n"/>
    </row>
    <row r="7" ht="24.75" customFormat="1" customHeight="1" s="356">
      <c r="B7" s="364" t="inlineStr">
        <is>
          <t>Enter date</t>
        </is>
      </c>
      <c r="C7" s="365" t="n"/>
      <c r="D7" s="365" t="n"/>
      <c r="E7" s="365" t="n"/>
      <c r="F7" s="365" t="n"/>
      <c r="I7" s="372" t="n"/>
      <c r="J7" s="908" t="inlineStr">
        <is>
          <t>Insert your own text/numbers into these cells as relevant.</t>
        </is>
      </c>
      <c r="K7" s="1209" t="n"/>
      <c r="L7" s="363" t="n"/>
      <c r="M7" s="359" t="n"/>
      <c r="N7" s="359" t="n"/>
      <c r="O7" s="359" t="n"/>
      <c r="P7" s="359" t="n"/>
      <c r="Q7" s="359" t="n"/>
    </row>
    <row r="8" ht="21" customFormat="1" customHeight="1" s="356" thickBot="1">
      <c r="B8" s="373" t="n"/>
      <c r="C8" s="373" t="n"/>
      <c r="D8" s="374" t="n"/>
      <c r="E8" s="374" t="n"/>
      <c r="F8" s="374" t="n"/>
      <c r="G8" s="375" t="n"/>
      <c r="H8" s="373" t="n"/>
      <c r="I8" s="375" t="n"/>
      <c r="J8" s="374" t="n"/>
      <c r="K8" s="374" t="n"/>
      <c r="L8" s="363" t="n"/>
      <c r="M8" s="359" t="n"/>
      <c r="N8" s="359" t="n"/>
      <c r="O8" s="359" t="n"/>
      <c r="P8" s="359" t="n"/>
      <c r="Q8" s="359" t="n"/>
    </row>
    <row r="9" ht="16.5" customFormat="1" customHeight="1" s="356" thickTop="1">
      <c r="B9" s="376" t="n"/>
      <c r="C9" s="377" t="n"/>
      <c r="D9" s="365" t="n"/>
      <c r="E9" s="365" t="n"/>
      <c r="F9" s="365" t="n"/>
      <c r="G9" s="365" t="n"/>
      <c r="H9" s="365" t="n"/>
      <c r="I9" s="365" t="n"/>
      <c r="J9" s="365" t="n"/>
      <c r="K9" s="365" t="n"/>
      <c r="L9" s="363" t="n"/>
      <c r="M9" s="359" t="n"/>
      <c r="N9" s="359" t="n"/>
      <c r="O9" s="359" t="n"/>
      <c r="P9" s="359" t="n"/>
      <c r="Q9" s="359" t="n"/>
    </row>
    <row r="10" ht="18" customFormat="1" customHeight="1" s="356">
      <c r="B10" s="378" t="inlineStr">
        <is>
          <t>Select your starting month:</t>
        </is>
      </c>
      <c r="C10" s="379" t="n"/>
      <c r="E10" s="362" t="n"/>
      <c r="F10" s="380" t="n"/>
      <c r="G10" s="380" t="n"/>
      <c r="H10" s="362" t="n"/>
      <c r="J10" s="380" t="n"/>
      <c r="K10" s="380" t="n"/>
    </row>
    <row r="11" ht="20.25" customFormat="1" customHeight="1" s="356">
      <c r="B11" s="381" t="n"/>
      <c r="C11" s="381" t="n"/>
      <c r="D11" s="382" t="n"/>
      <c r="E11" s="909" t="inlineStr">
        <is>
          <t>MONTHS</t>
        </is>
      </c>
      <c r="F11" s="1210" t="n"/>
      <c r="G11" s="1210" t="n"/>
      <c r="H11" s="1210" t="n"/>
      <c r="I11" s="1210" t="n"/>
      <c r="J11" s="1209" t="n"/>
      <c r="K11" s="383" t="n"/>
    </row>
    <row r="12" ht="31.5" customFormat="1" customHeight="1" s="388">
      <c r="A12" s="384" t="n"/>
      <c r="B12" s="909" t="inlineStr">
        <is>
          <t>Cash in-flows</t>
        </is>
      </c>
      <c r="C12" s="386" t="inlineStr">
        <is>
          <t>Description (as required)</t>
        </is>
      </c>
      <c r="D12" s="386" t="inlineStr">
        <is>
          <t>Starting point</t>
        </is>
      </c>
      <c r="E12" s="387" t="n">
        <v>1</v>
      </c>
      <c r="F12" s="387" t="n">
        <v>2</v>
      </c>
      <c r="G12" s="387" t="n">
        <v>3</v>
      </c>
      <c r="H12" s="387" t="n">
        <v>4</v>
      </c>
      <c r="I12" s="387" t="n">
        <v>5</v>
      </c>
      <c r="J12" s="387" t="n">
        <v>6</v>
      </c>
      <c r="K12" s="387" t="inlineStr">
        <is>
          <t>TOTAL</t>
        </is>
      </c>
    </row>
    <row r="13">
      <c r="A13" s="389" t="n"/>
      <c r="B13" s="390" t="inlineStr">
        <is>
          <t>Total sales revenue</t>
        </is>
      </c>
      <c r="C13" s="391" t="n"/>
      <c r="D13" s="1211" t="n">
        <v>0</v>
      </c>
      <c r="E13" s="1212" t="n">
        <v>0</v>
      </c>
      <c r="F13" s="1212" t="n">
        <v>0</v>
      </c>
      <c r="G13" s="1212" t="n">
        <v>0</v>
      </c>
      <c r="H13" s="1212" t="n">
        <v>0</v>
      </c>
      <c r="I13" s="1212" t="n">
        <v>0</v>
      </c>
      <c r="J13" s="1212" t="n">
        <v>0</v>
      </c>
      <c r="K13" s="1213">
        <f>SUM(D13:J13)</f>
        <v/>
      </c>
    </row>
    <row r="14">
      <c r="A14" s="389" t="n"/>
      <c r="B14" s="390" t="inlineStr">
        <is>
          <t>Sources of investment</t>
        </is>
      </c>
      <c r="C14" s="391" t="n"/>
      <c r="D14" s="1211" t="n">
        <v>0</v>
      </c>
      <c r="E14" s="1211" t="n">
        <v>0</v>
      </c>
      <c r="F14" s="1211" t="n">
        <v>0</v>
      </c>
      <c r="G14" s="1211" t="n">
        <v>0</v>
      </c>
      <c r="H14" s="1211" t="n">
        <v>0</v>
      </c>
      <c r="I14" s="1211" t="n">
        <v>0</v>
      </c>
      <c r="J14" s="1211" t="n">
        <v>0</v>
      </c>
      <c r="K14" s="1213">
        <f>SUM(D14:J14)</f>
        <v/>
      </c>
    </row>
    <row r="15">
      <c r="A15" s="389" t="n"/>
      <c r="B15" s="390" t="inlineStr">
        <is>
          <t>Debt-based finance</t>
        </is>
      </c>
      <c r="C15" s="391" t="n"/>
      <c r="D15" s="1211" t="n">
        <v>0</v>
      </c>
      <c r="E15" s="1211" t="n">
        <v>0</v>
      </c>
      <c r="F15" s="1211" t="n">
        <v>0</v>
      </c>
      <c r="G15" s="1211" t="n">
        <v>0</v>
      </c>
      <c r="H15" s="1211" t="n">
        <v>0</v>
      </c>
      <c r="I15" s="1211" t="n">
        <v>0</v>
      </c>
      <c r="J15" s="1211" t="n">
        <v>0</v>
      </c>
      <c r="K15" s="1213">
        <f>SUM(D15:J15)</f>
        <v/>
      </c>
    </row>
    <row r="16">
      <c r="A16" s="389" t="n"/>
      <c r="B16" s="390" t="inlineStr">
        <is>
          <t>Enter other</t>
        </is>
      </c>
      <c r="C16" s="391" t="n"/>
      <c r="D16" s="1211" t="n">
        <v>0</v>
      </c>
      <c r="E16" s="1211" t="n">
        <v>0</v>
      </c>
      <c r="F16" s="1211" t="n">
        <v>0</v>
      </c>
      <c r="G16" s="1211" t="n">
        <v>0</v>
      </c>
      <c r="H16" s="1211" t="n">
        <v>0</v>
      </c>
      <c r="I16" s="1211" t="n">
        <v>0</v>
      </c>
      <c r="J16" s="1211" t="n">
        <v>0</v>
      </c>
      <c r="K16" s="1213">
        <f>SUM(D16:J16)</f>
        <v/>
      </c>
    </row>
    <row r="17">
      <c r="A17" s="389" t="n"/>
      <c r="B17" s="390" t="inlineStr">
        <is>
          <t>Enter other</t>
        </is>
      </c>
      <c r="C17" s="391" t="n"/>
      <c r="D17" s="1211" t="n">
        <v>0</v>
      </c>
      <c r="E17" s="1211" t="n">
        <v>0</v>
      </c>
      <c r="F17" s="1211" t="n">
        <v>0</v>
      </c>
      <c r="G17" s="1211" t="n">
        <v>0</v>
      </c>
      <c r="H17" s="1211" t="n">
        <v>0</v>
      </c>
      <c r="I17" s="1211" t="n">
        <v>0</v>
      </c>
      <c r="J17" s="1211" t="n">
        <v>0</v>
      </c>
      <c r="K17" s="1213">
        <f>SUM(D17:J17)</f>
        <v/>
      </c>
    </row>
    <row r="18">
      <c r="A18" s="389" t="n"/>
      <c r="B18" s="390" t="inlineStr">
        <is>
          <t>Enter other</t>
        </is>
      </c>
      <c r="C18" s="391" t="n"/>
      <c r="D18" s="1211" t="n">
        <v>0</v>
      </c>
      <c r="E18" s="1211" t="n">
        <v>0</v>
      </c>
      <c r="F18" s="1211" t="n">
        <v>0</v>
      </c>
      <c r="G18" s="1211" t="n">
        <v>0</v>
      </c>
      <c r="H18" s="1211" t="n">
        <v>0</v>
      </c>
      <c r="I18" s="1211" t="n">
        <v>0</v>
      </c>
      <c r="J18" s="1211" t="n">
        <v>0</v>
      </c>
      <c r="K18" s="1213">
        <f>SUM(D18:J18)</f>
        <v/>
      </c>
    </row>
    <row r="19" ht="20.25" customFormat="1" customHeight="1" s="400">
      <c r="A19" s="396" t="n"/>
      <c r="B19" s="910" t="inlineStr">
        <is>
          <t>Total cash in-flows (A)</t>
        </is>
      </c>
      <c r="C19" s="1209" t="n"/>
      <c r="D19" s="1214">
        <f>SUM(D13:D18)</f>
        <v/>
      </c>
      <c r="E19" s="1214">
        <f>SUM(E13:E18)</f>
        <v/>
      </c>
      <c r="F19" s="1214">
        <f>SUM(F13:F18)</f>
        <v/>
      </c>
      <c r="G19" s="1214">
        <f>SUM(G13:G18)</f>
        <v/>
      </c>
      <c r="H19" s="1214">
        <f>SUM(H13:H18)</f>
        <v/>
      </c>
      <c r="I19" s="1214">
        <f>SUM(I13:I18)</f>
        <v/>
      </c>
      <c r="J19" s="1214">
        <f>SUM(J13:J18)</f>
        <v/>
      </c>
      <c r="K19" s="1215">
        <f>SUM(D19:J19)</f>
        <v/>
      </c>
      <c r="L19" s="399" t="n"/>
      <c r="M19" s="399" t="n"/>
      <c r="N19" s="399" t="n"/>
      <c r="O19" s="399" t="n"/>
      <c r="P19" s="399" t="n"/>
      <c r="Q19" s="399" t="n"/>
      <c r="R19" s="399" t="n"/>
      <c r="S19" s="399" t="n"/>
      <c r="T19" s="399" t="n"/>
      <c r="U19" s="399" t="n"/>
      <c r="V19" s="399" t="n"/>
      <c r="W19" s="399" t="n"/>
      <c r="X19" s="399" t="n"/>
      <c r="Y19" s="399" t="n"/>
      <c r="Z19" s="399" t="n"/>
      <c r="AA19" s="399" t="n"/>
      <c r="AB19" s="399" t="n"/>
      <c r="AC19" s="399" t="n"/>
      <c r="AD19" s="399" t="n"/>
    </row>
    <row r="20" ht="30.75" customFormat="1" customHeight="1" s="356">
      <c r="D20" s="401" t="n"/>
      <c r="E20" s="401" t="n"/>
      <c r="F20" s="401" t="n"/>
      <c r="G20" s="401" t="n"/>
      <c r="H20" s="401" t="n"/>
      <c r="I20" s="401" t="n"/>
      <c r="J20" s="401" t="n"/>
      <c r="K20" s="402" t="n"/>
    </row>
    <row r="21" ht="18.75" customFormat="1" customHeight="1" s="356">
      <c r="B21" s="403" t="n"/>
      <c r="C21" s="403" t="n"/>
      <c r="D21" s="404" t="n"/>
      <c r="E21" s="909" t="inlineStr">
        <is>
          <t>MONTHS</t>
        </is>
      </c>
      <c r="F21" s="1210" t="n"/>
      <c r="G21" s="1210" t="n"/>
      <c r="H21" s="1210" t="n"/>
      <c r="I21" s="1210" t="n"/>
      <c r="J21" s="1209" t="n"/>
      <c r="K21" s="405" t="n"/>
    </row>
    <row r="22" ht="21.75" customFormat="1" customHeight="1" s="356">
      <c r="B22" s="909" t="inlineStr">
        <is>
          <t>Cash out-flows</t>
        </is>
      </c>
      <c r="C22" s="386" t="inlineStr">
        <is>
          <t>Description (as required)</t>
        </is>
      </c>
      <c r="D22" s="386" t="inlineStr">
        <is>
          <t>Starting point</t>
        </is>
      </c>
      <c r="E22" s="387" t="n">
        <v>1</v>
      </c>
      <c r="F22" s="387" t="n">
        <v>2</v>
      </c>
      <c r="G22" s="387" t="n">
        <v>3</v>
      </c>
      <c r="H22" s="387" t="n">
        <v>4</v>
      </c>
      <c r="I22" s="387" t="n">
        <v>5</v>
      </c>
      <c r="J22" s="387" t="n">
        <v>6</v>
      </c>
      <c r="K22" s="387" t="inlineStr">
        <is>
          <t>TOTAL</t>
        </is>
      </c>
    </row>
    <row r="23">
      <c r="B23" s="406" t="inlineStr">
        <is>
          <t>Cost of sales</t>
        </is>
      </c>
      <c r="C23" s="364" t="n"/>
      <c r="D23" s="1216" t="n">
        <v>0</v>
      </c>
      <c r="E23" s="1212" t="n">
        <v>0</v>
      </c>
      <c r="F23" s="1212" t="n">
        <v>0</v>
      </c>
      <c r="G23" s="1212" t="n">
        <v>0</v>
      </c>
      <c r="H23" s="1212" t="n">
        <v>0</v>
      </c>
      <c r="I23" s="1212" t="n">
        <v>0</v>
      </c>
      <c r="J23" s="1212" t="n">
        <v>0</v>
      </c>
      <c r="K23" s="1213">
        <f>SUM(D23:J23)</f>
        <v/>
      </c>
    </row>
    <row r="24" ht="13.5" customHeight="1">
      <c r="B24" s="406" t="inlineStr">
        <is>
          <t>Rent or premises costs</t>
        </is>
      </c>
      <c r="C24" s="364" t="n"/>
      <c r="D24" s="1216" t="n">
        <v>0</v>
      </c>
      <c r="E24" s="1212" t="n">
        <v>0</v>
      </c>
      <c r="F24" s="1212" t="n">
        <v>0</v>
      </c>
      <c r="G24" s="1212" t="n">
        <v>0</v>
      </c>
      <c r="H24" s="1212" t="n">
        <v>0</v>
      </c>
      <c r="I24" s="1212" t="n">
        <v>0</v>
      </c>
      <c r="J24" s="1212" t="n">
        <v>0</v>
      </c>
      <c r="K24" s="1213">
        <f>SUM(D24:J24)</f>
        <v/>
      </c>
    </row>
    <row r="25" ht="14.25" customHeight="1">
      <c r="B25" s="406" t="inlineStr">
        <is>
          <t>Business rates for your business premises</t>
        </is>
      </c>
      <c r="C25" s="364" t="n"/>
      <c r="D25" s="1216" t="n">
        <v>0</v>
      </c>
      <c r="E25" s="1212" t="n">
        <v>0</v>
      </c>
      <c r="F25" s="1212" t="n">
        <v>0</v>
      </c>
      <c r="G25" s="1212" t="n">
        <v>0</v>
      </c>
      <c r="H25" s="1212" t="n">
        <v>0</v>
      </c>
      <c r="I25" s="1212" t="n">
        <v>0</v>
      </c>
      <c r="J25" s="1212" t="n">
        <v>0</v>
      </c>
      <c r="K25" s="1213">
        <f>SUM(D25:J25)</f>
        <v/>
      </c>
    </row>
    <row r="26" ht="14.25" customHeight="1">
      <c r="B26" s="406" t="inlineStr">
        <is>
          <t>Utilities (gas, electricity, water)</t>
        </is>
      </c>
      <c r="C26" s="364" t="n"/>
      <c r="D26" s="1216" t="n">
        <v>0</v>
      </c>
      <c r="E26" s="1212" t="n">
        <v>0</v>
      </c>
      <c r="F26" s="1212" t="n">
        <v>0</v>
      </c>
      <c r="G26" s="1212" t="n">
        <v>0</v>
      </c>
      <c r="H26" s="1212" t="n">
        <v>0</v>
      </c>
      <c r="I26" s="1212" t="n">
        <v>0</v>
      </c>
      <c r="J26" s="1212" t="n">
        <v>0</v>
      </c>
      <c r="K26" s="1213">
        <f>SUM(D26:J26)</f>
        <v/>
      </c>
    </row>
    <row r="27">
      <c r="B27" s="406" t="inlineStr">
        <is>
          <t>Insurance</t>
        </is>
      </c>
      <c r="C27" s="364" t="n"/>
      <c r="D27" s="1216" t="n">
        <v>0</v>
      </c>
      <c r="E27" s="1212" t="n">
        <v>0</v>
      </c>
      <c r="F27" s="1212" t="n">
        <v>0</v>
      </c>
      <c r="G27" s="1212" t="n">
        <v>0</v>
      </c>
      <c r="H27" s="1212" t="n">
        <v>0</v>
      </c>
      <c r="I27" s="1212" t="n">
        <v>0</v>
      </c>
      <c r="J27" s="1212" t="n">
        <v>0</v>
      </c>
      <c r="K27" s="1213">
        <f>SUM(D27:J27)</f>
        <v/>
      </c>
    </row>
    <row r="28">
      <c r="B28" s="406" t="inlineStr">
        <is>
          <t>Telephone and internet</t>
        </is>
      </c>
      <c r="C28" s="364" t="n"/>
      <c r="D28" s="1216" t="n">
        <v>0</v>
      </c>
      <c r="E28" s="1212" t="n">
        <v>0</v>
      </c>
      <c r="F28" s="1212" t="n">
        <v>0</v>
      </c>
      <c r="G28" s="1212" t="n">
        <v>0</v>
      </c>
      <c r="H28" s="1212" t="n">
        <v>0</v>
      </c>
      <c r="I28" s="1212" t="n">
        <v>0</v>
      </c>
      <c r="J28" s="1212" t="n">
        <v>0</v>
      </c>
      <c r="K28" s="1213">
        <f>SUM(D28:J28)</f>
        <v/>
      </c>
    </row>
    <row r="29">
      <c r="B29" s="406" t="inlineStr">
        <is>
          <t>Marketing and advertising expenses</t>
        </is>
      </c>
      <c r="C29" s="364" t="n"/>
      <c r="D29" s="1216" t="n">
        <v>0</v>
      </c>
      <c r="E29" s="1212" t="n">
        <v>0</v>
      </c>
      <c r="F29" s="1212" t="n">
        <v>0</v>
      </c>
      <c r="G29" s="1212" t="n">
        <v>0</v>
      </c>
      <c r="H29" s="1212" t="n">
        <v>0</v>
      </c>
      <c r="I29" s="1212" t="n">
        <v>0</v>
      </c>
      <c r="J29" s="1212" t="n">
        <v>0</v>
      </c>
      <c r="K29" s="1213">
        <f>SUM(D29:J29)</f>
        <v/>
      </c>
    </row>
    <row r="30">
      <c r="B30" s="406" t="inlineStr">
        <is>
          <t>Vehicle running costs</t>
        </is>
      </c>
      <c r="C30" s="364" t="n"/>
      <c r="D30" s="1216" t="n">
        <v>0</v>
      </c>
      <c r="E30" s="1212" t="n">
        <v>0</v>
      </c>
      <c r="F30" s="1212" t="n">
        <v>0</v>
      </c>
      <c r="G30" s="1212" t="n">
        <v>0</v>
      </c>
      <c r="H30" s="1212" t="n">
        <v>0</v>
      </c>
      <c r="I30" s="1212" t="n">
        <v>0</v>
      </c>
      <c r="J30" s="1212" t="n">
        <v>0</v>
      </c>
      <c r="K30" s="1213">
        <f>SUM(D30:J30)</f>
        <v/>
      </c>
    </row>
    <row r="31">
      <c r="B31" s="406" t="inlineStr">
        <is>
          <t>Equipment purchase or leasing</t>
        </is>
      </c>
      <c r="C31" s="364" t="n"/>
      <c r="D31" s="1216" t="n">
        <v>0</v>
      </c>
      <c r="E31" s="1212" t="n">
        <v>0</v>
      </c>
      <c r="F31" s="1212" t="n">
        <v>0</v>
      </c>
      <c r="G31" s="1212" t="n">
        <v>0</v>
      </c>
      <c r="H31" s="1212" t="n">
        <v>0</v>
      </c>
      <c r="I31" s="1212" t="n">
        <v>0</v>
      </c>
      <c r="J31" s="1212" t="n">
        <v>0</v>
      </c>
      <c r="K31" s="1213">
        <f>SUM(D31:J31)</f>
        <v/>
      </c>
    </row>
    <row r="32">
      <c r="B32" s="406" t="inlineStr">
        <is>
          <t>Postage, printing, stationery</t>
        </is>
      </c>
      <c r="C32" s="364" t="n"/>
      <c r="D32" s="1216" t="n">
        <v>0</v>
      </c>
      <c r="E32" s="1212" t="n">
        <v>0</v>
      </c>
      <c r="F32" s="1212" t="n">
        <v>0</v>
      </c>
      <c r="G32" s="1212" t="n">
        <v>0</v>
      </c>
      <c r="H32" s="1212" t="n">
        <v>0</v>
      </c>
      <c r="I32" s="1212" t="n">
        <v>0</v>
      </c>
      <c r="J32" s="1212" t="n">
        <v>0</v>
      </c>
      <c r="K32" s="1213">
        <f>SUM(D32:J32)</f>
        <v/>
      </c>
    </row>
    <row r="33">
      <c r="B33" s="406" t="inlineStr">
        <is>
          <t>Transport and delivery</t>
        </is>
      </c>
      <c r="C33" s="364" t="n"/>
      <c r="D33" s="1216" t="n">
        <v>0</v>
      </c>
      <c r="E33" s="1212" t="n">
        <v>0</v>
      </c>
      <c r="F33" s="1212" t="n">
        <v>0</v>
      </c>
      <c r="G33" s="1212" t="n">
        <v>0</v>
      </c>
      <c r="H33" s="1212" t="n">
        <v>0</v>
      </c>
      <c r="I33" s="1212" t="n">
        <v>0</v>
      </c>
      <c r="J33" s="1212" t="n">
        <v>0</v>
      </c>
      <c r="K33" s="1213">
        <f>SUM(D33:J33)</f>
        <v/>
      </c>
    </row>
    <row r="34">
      <c r="B34" s="406" t="inlineStr">
        <is>
          <t>Professional fees (legal, accounting etc.)</t>
        </is>
      </c>
      <c r="C34" s="364" t="n"/>
      <c r="D34" s="1216" t="n">
        <v>0</v>
      </c>
      <c r="E34" s="1212" t="n">
        <v>0</v>
      </c>
      <c r="F34" s="1212" t="n">
        <v>0</v>
      </c>
      <c r="G34" s="1212" t="n">
        <v>0</v>
      </c>
      <c r="H34" s="1212" t="n">
        <v>0</v>
      </c>
      <c r="I34" s="1212" t="n">
        <v>0</v>
      </c>
      <c r="J34" s="1212" t="n">
        <v>0</v>
      </c>
      <c r="K34" s="1213">
        <f>SUM(D34:J34)</f>
        <v/>
      </c>
    </row>
    <row r="35">
      <c r="B35" s="390" t="inlineStr">
        <is>
          <t xml:space="preserve">Your salary </t>
        </is>
      </c>
      <c r="C35" s="364" t="n"/>
      <c r="D35" s="1216" t="inlineStr">
        <is>
          <t>n/a</t>
        </is>
      </c>
      <c r="E35" s="1212" t="n">
        <v>0</v>
      </c>
      <c r="F35" s="1212" t="n">
        <v>0</v>
      </c>
      <c r="G35" s="1212" t="n">
        <v>0</v>
      </c>
      <c r="H35" s="1212" t="n">
        <v>0</v>
      </c>
      <c r="I35" s="1212" t="n">
        <v>0</v>
      </c>
      <c r="J35" s="1212" t="n">
        <v>0</v>
      </c>
      <c r="K35" s="1213">
        <f>SUM(D35:J35)</f>
        <v/>
      </c>
    </row>
    <row r="36">
      <c r="B36" s="406" t="inlineStr">
        <is>
          <t>Staff costs</t>
        </is>
      </c>
      <c r="C36" s="364" t="n"/>
      <c r="D36" s="1216" t="n">
        <v>0</v>
      </c>
      <c r="E36" s="1212" t="n">
        <v>0</v>
      </c>
      <c r="F36" s="1212" t="n">
        <v>0</v>
      </c>
      <c r="G36" s="1212" t="n">
        <v>0</v>
      </c>
      <c r="H36" s="1212" t="n">
        <v>0</v>
      </c>
      <c r="I36" s="1212" t="n">
        <v>0</v>
      </c>
      <c r="J36" s="1212" t="n">
        <v>0</v>
      </c>
      <c r="K36" s="1213">
        <f>SUM(D36:J36)</f>
        <v/>
      </c>
    </row>
    <row r="37">
      <c r="B37" s="390" t="inlineStr">
        <is>
          <t>Start Up Loan monthly repayment*</t>
        </is>
      </c>
      <c r="C37" s="364" t="n"/>
      <c r="D37" s="1217" t="inlineStr">
        <is>
          <t>n/a</t>
        </is>
      </c>
      <c r="E37" s="1212" t="n">
        <v>0</v>
      </c>
      <c r="F37" s="1218">
        <f>E37</f>
        <v/>
      </c>
      <c r="G37" s="1218">
        <f>E37</f>
        <v/>
      </c>
      <c r="H37" s="1218">
        <f>E37</f>
        <v/>
      </c>
      <c r="I37" s="1218">
        <f>E37</f>
        <v/>
      </c>
      <c r="J37" s="1218">
        <f>E37</f>
        <v/>
      </c>
      <c r="K37" s="1213">
        <f>SUM(D37:J37)</f>
        <v/>
      </c>
    </row>
    <row r="38">
      <c r="B38" s="390" t="inlineStr">
        <is>
          <t>Enter other</t>
        </is>
      </c>
      <c r="C38" s="364" t="n"/>
      <c r="D38" s="1216" t="n">
        <v>0</v>
      </c>
      <c r="E38" s="1212" t="n">
        <v>0</v>
      </c>
      <c r="F38" s="1212" t="n">
        <v>0</v>
      </c>
      <c r="G38" s="1212" t="n">
        <v>0</v>
      </c>
      <c r="H38" s="1212" t="n">
        <v>0</v>
      </c>
      <c r="I38" s="1212" t="n">
        <v>0</v>
      </c>
      <c r="J38" s="1212" t="n">
        <v>0</v>
      </c>
      <c r="K38" s="1213">
        <f>SUM(D38:J38)</f>
        <v/>
      </c>
    </row>
    <row r="39">
      <c r="B39" s="390" t="inlineStr">
        <is>
          <t>Enter other</t>
        </is>
      </c>
      <c r="C39" s="364" t="n"/>
      <c r="D39" s="1216" t="n">
        <v>0</v>
      </c>
      <c r="E39" s="1212" t="n">
        <v>0</v>
      </c>
      <c r="F39" s="1212" t="n">
        <v>0</v>
      </c>
      <c r="G39" s="1212" t="n">
        <v>0</v>
      </c>
      <c r="H39" s="1212" t="n">
        <v>0</v>
      </c>
      <c r="I39" s="1212" t="n">
        <v>0</v>
      </c>
      <c r="J39" s="1212" t="n">
        <v>0</v>
      </c>
      <c r="K39" s="1213">
        <f>SUM(D39:J39)</f>
        <v/>
      </c>
    </row>
    <row r="40">
      <c r="B40" s="390" t="inlineStr">
        <is>
          <t>Enter other</t>
        </is>
      </c>
      <c r="C40" s="364" t="n"/>
      <c r="D40" s="1216" t="n">
        <v>0</v>
      </c>
      <c r="E40" s="1212" t="n">
        <v>0</v>
      </c>
      <c r="F40" s="1212" t="n">
        <v>0</v>
      </c>
      <c r="G40" s="1212" t="n">
        <v>0</v>
      </c>
      <c r="H40" s="1212" t="n">
        <v>0</v>
      </c>
      <c r="I40" s="1212" t="n">
        <v>0</v>
      </c>
      <c r="J40" s="1212" t="n">
        <v>0</v>
      </c>
      <c r="K40" s="1213">
        <f>SUM(D40:J40)</f>
        <v/>
      </c>
    </row>
    <row r="41">
      <c r="B41" s="390" t="inlineStr">
        <is>
          <t>Enter other</t>
        </is>
      </c>
      <c r="C41" s="364" t="n"/>
      <c r="D41" s="1216" t="n">
        <v>0</v>
      </c>
      <c r="E41" s="1212" t="n">
        <v>0</v>
      </c>
      <c r="F41" s="1212" t="n">
        <v>0</v>
      </c>
      <c r="G41" s="1212" t="n">
        <v>0</v>
      </c>
      <c r="H41" s="1212" t="n">
        <v>0</v>
      </c>
      <c r="I41" s="1212" t="n">
        <v>0</v>
      </c>
      <c r="J41" s="1212" t="n">
        <v>0</v>
      </c>
      <c r="K41" s="1213">
        <f>SUM(D41:J41)</f>
        <v/>
      </c>
    </row>
    <row r="42">
      <c r="B42" s="390" t="inlineStr">
        <is>
          <t>Enter other</t>
        </is>
      </c>
      <c r="C42" s="364" t="n"/>
      <c r="D42" s="1216" t="n">
        <v>0</v>
      </c>
      <c r="E42" s="1212" t="n">
        <v>0</v>
      </c>
      <c r="F42" s="1212" t="n">
        <v>0</v>
      </c>
      <c r="G42" s="1212" t="n">
        <v>0</v>
      </c>
      <c r="H42" s="1212" t="n">
        <v>0</v>
      </c>
      <c r="I42" s="1212" t="n">
        <v>0</v>
      </c>
      <c r="J42" s="1212" t="n">
        <v>0</v>
      </c>
      <c r="K42" s="1213">
        <f>SUM(D42:J42)</f>
        <v/>
      </c>
    </row>
    <row r="43" ht="18.75" customFormat="1" customHeight="1" s="410">
      <c r="A43" s="388" t="n"/>
      <c r="B43" s="911" t="inlineStr">
        <is>
          <t>Total cash out-flows (B)</t>
        </is>
      </c>
      <c r="C43" s="1209" t="n"/>
      <c r="D43" s="1215">
        <f>SUM(D23:D42)</f>
        <v/>
      </c>
      <c r="E43" s="1215">
        <f>SUM(E23:E42)</f>
        <v/>
      </c>
      <c r="F43" s="1215">
        <f>SUM(F23:F42)</f>
        <v/>
      </c>
      <c r="G43" s="1215">
        <f>SUM(G23:G42)</f>
        <v/>
      </c>
      <c r="H43" s="1215">
        <f>SUM(H23:H42)</f>
        <v/>
      </c>
      <c r="I43" s="1215">
        <f>SUM(I23:I42)</f>
        <v/>
      </c>
      <c r="J43" s="1215">
        <f>SUM(J23:J42)</f>
        <v/>
      </c>
      <c r="K43" s="1215">
        <f>SUM(D43:J43)</f>
        <v/>
      </c>
      <c r="L43" s="388" t="n"/>
      <c r="M43" s="388" t="n"/>
      <c r="N43" s="388" t="n"/>
      <c r="O43" s="388" t="n"/>
      <c r="P43" s="388" t="n"/>
      <c r="Q43" s="388" t="n"/>
      <c r="R43" s="388" t="n"/>
      <c r="S43" s="388" t="n"/>
      <c r="T43" s="388" t="n"/>
      <c r="U43" s="388" t="n"/>
      <c r="V43" s="388" t="n"/>
      <c r="W43" s="388" t="n"/>
      <c r="X43" s="388" t="n"/>
      <c r="Y43" s="388" t="n"/>
      <c r="Z43" s="388" t="n"/>
      <c r="AA43" s="388" t="n"/>
      <c r="AB43" s="388" t="n"/>
      <c r="AC43" s="388" t="n"/>
      <c r="AD43" s="388" t="n"/>
    </row>
    <row r="44" ht="20.25" customFormat="1" customHeight="1" s="356">
      <c r="D44" s="1219" t="n"/>
      <c r="E44" s="1219" t="n"/>
      <c r="F44" s="1219" t="n"/>
      <c r="G44" s="1219" t="n"/>
      <c r="H44" s="1219" t="n"/>
      <c r="I44" s="1219" t="n"/>
      <c r="J44" s="1219" t="n"/>
      <c r="K44" s="1220" t="n"/>
    </row>
    <row r="45" ht="31.5" customFormat="1" customHeight="1" s="400">
      <c r="A45" s="399" t="n"/>
      <c r="C45" s="413" t="inlineStr">
        <is>
          <t>Your net cash flow (A-B)</t>
        </is>
      </c>
      <c r="D45" s="1215">
        <f>D19-D43</f>
        <v/>
      </c>
      <c r="E45" s="1215">
        <f>E19-E43</f>
        <v/>
      </c>
      <c r="F45" s="1215">
        <f>F19-F43</f>
        <v/>
      </c>
      <c r="G45" s="1215">
        <f>G19-G43</f>
        <v/>
      </c>
      <c r="H45" s="1215">
        <f>H19-H43</f>
        <v/>
      </c>
      <c r="I45" s="1215">
        <f>I19-I43</f>
        <v/>
      </c>
      <c r="J45" s="1215">
        <f>J19-J43</f>
        <v/>
      </c>
      <c r="K45" s="1215">
        <f>K19-K43</f>
        <v/>
      </c>
      <c r="L45" s="399" t="n"/>
      <c r="M45" s="399" t="n"/>
      <c r="N45" s="399" t="n"/>
      <c r="O45" s="399" t="n"/>
      <c r="P45" s="399" t="n"/>
      <c r="Q45" s="399" t="n"/>
      <c r="R45" s="399" t="n"/>
      <c r="S45" s="399" t="n"/>
      <c r="T45" s="399" t="n"/>
      <c r="U45" s="399" t="n"/>
      <c r="V45" s="399" t="n"/>
      <c r="W45" s="399" t="n"/>
      <c r="X45" s="399" t="n"/>
      <c r="Y45" s="399" t="n"/>
      <c r="Z45" s="399" t="n"/>
      <c r="AA45" s="399" t="n"/>
      <c r="AB45" s="399" t="n"/>
      <c r="AC45" s="399" t="n"/>
      <c r="AD45" s="399" t="n"/>
    </row>
    <row r="46" ht="21" customFormat="1" customHeight="1" s="356">
      <c r="C46" s="414" t="n"/>
      <c r="D46" s="1221" t="n"/>
      <c r="E46" s="1221" t="n"/>
      <c r="F46" s="1221" t="n"/>
      <c r="G46" s="1221" t="n"/>
      <c r="H46" s="1221" t="n"/>
      <c r="I46" s="1221" t="n"/>
      <c r="J46" s="1221" t="n"/>
      <c r="K46" s="1221" t="n"/>
    </row>
    <row r="47" ht="28" customHeight="1">
      <c r="C47" s="416" t="inlineStr">
        <is>
          <t>Your monthly opening business bank account balance</t>
        </is>
      </c>
      <c r="D47" s="1222" t="n">
        <v>0</v>
      </c>
      <c r="E47" s="1215">
        <f>D49</f>
        <v/>
      </c>
      <c r="F47" s="1215">
        <f>E49</f>
        <v/>
      </c>
      <c r="G47" s="1215">
        <f>F49</f>
        <v/>
      </c>
      <c r="H47" s="1215">
        <f>G49</f>
        <v/>
      </c>
      <c r="I47" s="1215">
        <f>H49</f>
        <v/>
      </c>
      <c r="J47" s="1215">
        <f>I49</f>
        <v/>
      </c>
      <c r="K47" s="1215">
        <f>J49</f>
        <v/>
      </c>
    </row>
    <row r="48" customFormat="1" s="356">
      <c r="B48" s="418" t="n"/>
      <c r="C48" s="419" t="n"/>
      <c r="D48" s="1221" t="n"/>
      <c r="E48" s="1221" t="n"/>
      <c r="F48" s="1221" t="n"/>
      <c r="G48" s="1221" t="n"/>
      <c r="H48" s="1221" t="n"/>
      <c r="I48" s="1221" t="n"/>
      <c r="J48" s="1221" t="n"/>
      <c r="K48" s="1221" t="n"/>
    </row>
    <row r="49" ht="30.75" customHeight="1">
      <c r="C49" s="416" t="inlineStr">
        <is>
          <t>Your closing cash position</t>
        </is>
      </c>
      <c r="D49" s="1215">
        <f>D45+D47</f>
        <v/>
      </c>
      <c r="E49" s="1215">
        <f>E45+E47</f>
        <v/>
      </c>
      <c r="F49" s="1215">
        <f>F45+F47</f>
        <v/>
      </c>
      <c r="G49" s="1215">
        <f>G45+G47</f>
        <v/>
      </c>
      <c r="H49" s="1215">
        <f>H45+H47</f>
        <v/>
      </c>
      <c r="I49" s="1215">
        <f>I45+I47</f>
        <v/>
      </c>
      <c r="J49" s="1215">
        <f>J45+J47</f>
        <v/>
      </c>
      <c r="K49" s="1215">
        <f>K47</f>
        <v/>
      </c>
    </row>
    <row r="50" customFormat="1" s="356"/>
    <row r="51" customFormat="1" s="356"/>
    <row r="52" ht="18" customFormat="1" customHeight="1" s="356">
      <c r="B52" s="905" t="inlineStr">
        <is>
          <t>YOUR NOTES OR COMMENTARY</t>
        </is>
      </c>
      <c r="C52" s="1210" t="n"/>
      <c r="D52" s="1210" t="n"/>
      <c r="E52" s="1210" t="n"/>
      <c r="F52" s="1210" t="n"/>
      <c r="G52" s="1210" t="n"/>
      <c r="H52" s="1210" t="n"/>
      <c r="I52" s="1210" t="n"/>
      <c r="J52" s="1210" t="n"/>
      <c r="K52" s="1209" t="n"/>
    </row>
    <row r="53" ht="18" customHeight="1">
      <c r="B53" s="906" t="inlineStr">
        <is>
          <t>Use this space to explain any of the information you have provided in the fields above.</t>
        </is>
      </c>
      <c r="C53" s="1210" t="n"/>
      <c r="D53" s="1210" t="n"/>
      <c r="E53" s="1210" t="n"/>
      <c r="F53" s="1210" t="n"/>
      <c r="G53" s="1210" t="n"/>
      <c r="H53" s="1210" t="n"/>
      <c r="I53" s="1210" t="n"/>
      <c r="J53" s="1210" t="n"/>
      <c r="K53" s="1209" t="n"/>
    </row>
    <row r="54" ht="14.25" customHeight="1">
      <c r="B54" s="907" t="n"/>
      <c r="C54" s="1223" t="n"/>
      <c r="D54" s="1223" t="n"/>
      <c r="E54" s="1223" t="n"/>
      <c r="F54" s="1223" t="n"/>
      <c r="G54" s="1223" t="n"/>
      <c r="H54" s="1223" t="n"/>
      <c r="I54" s="1223" t="n"/>
      <c r="J54" s="1223" t="n"/>
      <c r="K54" s="1224" t="n"/>
    </row>
    <row r="55" ht="153" customHeight="1">
      <c r="B55" s="1225" t="n"/>
      <c r="C55" s="1226" t="n"/>
      <c r="D55" s="1226" t="n"/>
      <c r="E55" s="1226" t="n"/>
      <c r="F55" s="1226" t="n"/>
      <c r="G55" s="1226" t="n"/>
      <c r="H55" s="1226" t="n"/>
      <c r="I55" s="1226" t="n"/>
      <c r="J55" s="1226" t="n"/>
      <c r="K55" s="1227" t="n"/>
    </row>
    <row r="56">
      <c r="B56" s="356" t="n"/>
      <c r="C56" s="356" t="n"/>
      <c r="D56" s="356" t="n"/>
      <c r="E56" s="356" t="n"/>
      <c r="F56" s="356" t="n"/>
      <c r="G56" s="356" t="n"/>
      <c r="H56" s="356" t="n"/>
      <c r="I56" s="356" t="n"/>
      <c r="J56" s="356" t="n"/>
      <c r="K56" s="356" t="n"/>
    </row>
    <row r="57">
      <c r="B57" s="356" t="n"/>
      <c r="C57" s="356" t="n"/>
      <c r="D57" s="356" t="n"/>
      <c r="E57" s="356" t="n"/>
      <c r="F57" s="356" t="n"/>
      <c r="G57" s="356" t="n"/>
      <c r="H57" s="356" t="n"/>
      <c r="I57" s="356" t="n"/>
      <c r="J57" s="356" t="n"/>
      <c r="K57" s="356" t="n"/>
    </row>
    <row r="58">
      <c r="B58" s="356" t="n"/>
      <c r="C58" s="356" t="n"/>
      <c r="D58" s="356" t="n"/>
      <c r="E58" s="356" t="n"/>
      <c r="F58" s="356" t="n"/>
      <c r="G58" s="356" t="n"/>
      <c r="H58" s="356" t="n"/>
      <c r="I58" s="356" t="n"/>
      <c r="J58" s="356" t="n"/>
      <c r="K58" s="356" t="n"/>
    </row>
    <row r="59">
      <c r="B59" s="356" t="n"/>
      <c r="C59" s="356" t="n"/>
      <c r="D59" s="356" t="n"/>
      <c r="E59" s="356" t="n"/>
      <c r="F59" s="356" t="n"/>
      <c r="G59" s="356" t="n"/>
      <c r="H59" s="356" t="n"/>
      <c r="I59" s="356" t="n"/>
      <c r="J59" s="356" t="n"/>
      <c r="K59" s="356" t="n"/>
    </row>
    <row r="60">
      <c r="B60" s="356" t="n"/>
      <c r="C60" s="356" t="n"/>
      <c r="D60" s="356" t="n"/>
      <c r="E60" s="356" t="n"/>
      <c r="F60" s="356" t="n"/>
      <c r="G60" s="356" t="n"/>
      <c r="H60" s="356" t="n"/>
      <c r="I60" s="356" t="n"/>
      <c r="J60" s="356" t="n"/>
      <c r="K60" s="356" t="n"/>
    </row>
    <row r="61">
      <c r="B61" s="356" t="n"/>
      <c r="C61" s="356" t="n"/>
      <c r="D61" s="356" t="n"/>
      <c r="E61" s="356" t="n"/>
      <c r="F61" s="356" t="n"/>
      <c r="G61" s="356" t="n"/>
      <c r="H61" s="356" t="n"/>
      <c r="I61" s="356" t="n"/>
      <c r="J61" s="356" t="n"/>
      <c r="K61" s="356" t="n"/>
    </row>
    <row r="62">
      <c r="B62" s="356" t="n"/>
      <c r="C62" s="356" t="n"/>
      <c r="D62" s="356" t="n"/>
      <c r="E62" s="356" t="n"/>
      <c r="F62" s="356" t="n"/>
      <c r="G62" s="356" t="n"/>
      <c r="H62" s="356" t="n"/>
      <c r="I62" s="356" t="n"/>
      <c r="J62" s="356" t="n"/>
      <c r="K62" s="356" t="n"/>
    </row>
    <row r="63">
      <c r="B63" s="356" t="n"/>
      <c r="C63" s="356" t="n"/>
      <c r="D63" s="356" t="n"/>
      <c r="E63" s="356" t="n"/>
      <c r="F63" s="356" t="n"/>
      <c r="G63" s="356" t="n"/>
      <c r="H63" s="356" t="n"/>
      <c r="I63" s="356" t="n"/>
      <c r="J63" s="356" t="n"/>
      <c r="K63" s="356" t="n"/>
    </row>
    <row r="64">
      <c r="B64" s="356" t="n"/>
      <c r="C64" s="356" t="n"/>
      <c r="D64" s="356" t="n"/>
      <c r="E64" s="356" t="n"/>
      <c r="F64" s="356" t="n"/>
      <c r="G64" s="356" t="n"/>
      <c r="H64" s="356" t="n"/>
      <c r="I64" s="356" t="n"/>
      <c r="J64" s="356" t="n"/>
      <c r="K64" s="356" t="n"/>
    </row>
    <row r="65">
      <c r="B65" s="356" t="n"/>
      <c r="C65" s="356" t="n"/>
      <c r="D65" s="356" t="n"/>
      <c r="E65" s="356" t="n"/>
      <c r="F65" s="356" t="n"/>
      <c r="G65" s="356" t="n"/>
      <c r="H65" s="356" t="n"/>
      <c r="I65" s="356" t="n"/>
      <c r="J65" s="356" t="n"/>
      <c r="K65" s="356" t="n"/>
    </row>
    <row r="66">
      <c r="B66" s="356" t="n"/>
      <c r="C66" s="356" t="n"/>
      <c r="D66" s="356" t="n"/>
      <c r="E66" s="356" t="n"/>
      <c r="F66" s="356" t="n"/>
      <c r="G66" s="356" t="n"/>
      <c r="H66" s="356" t="n"/>
      <c r="I66" s="356" t="n"/>
      <c r="J66" s="356" t="n"/>
      <c r="K66" s="356" t="n"/>
    </row>
  </sheetData>
  <mergeCells count="9">
    <mergeCell ref="E11:J11"/>
    <mergeCell ref="B54:K55"/>
    <mergeCell ref="J6:K6"/>
    <mergeCell ref="B19:C19"/>
    <mergeCell ref="J7:K7"/>
    <mergeCell ref="B52:K52"/>
    <mergeCell ref="B53:K53"/>
    <mergeCell ref="E21:J21"/>
    <mergeCell ref="B43:C43"/>
  </mergeCells>
  <conditionalFormatting sqref="E13:J13">
    <cfRule type="cellIs" priority="2" operator="lessThan" dxfId="0" stopIfTrue="1">
      <formula>0</formula>
    </cfRule>
  </conditionalFormatting>
  <conditionalFormatting sqref="E23:J42">
    <cfRule type="cellIs" priority="1" operator="lessThan" dxfId="0" stopIfTrue="1">
      <formula>0</formula>
    </cfRule>
  </conditionalFormatting>
  <printOptions horizontalCentered="1"/>
  <pageMargins left="0.7086614173228347" right="0.7086614173228347" top="0.7480314960629921" bottom="0.7480314960629921" header="0.3149606299212598" footer="0.3149606299212598"/>
  <pageSetup orientation="portrait" paperSize="9" scale="45"/>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tabColor theme="4"/>
    <outlinePr summaryBelow="1" summaryRight="1"/>
    <pageSetUpPr fitToPage="1"/>
  </sheetPr>
  <dimension ref="A1:Q63"/>
  <sheetViews>
    <sheetView showGridLines="0" zoomScale="80" zoomScaleNormal="80" zoomScaleSheetLayoutView="100" zoomScalePageLayoutView="50" workbookViewId="0">
      <selection activeCell="C63" sqref="C63:N63"/>
    </sheetView>
  </sheetViews>
  <sheetFormatPr baseColWidth="8" defaultColWidth="8.58203125" defaultRowHeight="14"/>
  <cols>
    <col width="4.58203125" customWidth="1" style="47" min="1" max="1"/>
    <col width="4" customWidth="1" style="462" min="2" max="2"/>
    <col width="4.08203125" customWidth="1" style="47" min="3" max="3"/>
    <col width="8.58203125" customWidth="1" style="47" min="4" max="12"/>
    <col width="33" customWidth="1" style="47" min="13" max="13"/>
    <col width="39" customWidth="1" style="47" min="14" max="14"/>
    <col width="5" customWidth="1" style="47" min="15" max="15"/>
    <col width="8.58203125" customWidth="1" style="47" min="16" max="16384"/>
  </cols>
  <sheetData>
    <row r="1" ht="14.5" customHeight="1" thickBot="1">
      <c r="A1" s="44" t="n"/>
      <c r="B1" s="45" t="n"/>
      <c r="C1" s="46" t="n"/>
      <c r="D1" s="46" t="n"/>
      <c r="E1" s="46" t="n"/>
      <c r="F1" s="46" t="n"/>
      <c r="G1" s="46" t="n"/>
      <c r="H1" s="46" t="n"/>
      <c r="I1" s="46" t="n"/>
      <c r="J1" s="46" t="n"/>
      <c r="K1" s="46" t="n"/>
      <c r="L1" s="46" t="n"/>
      <c r="M1" s="46" t="n"/>
      <c r="N1" s="46" t="n"/>
      <c r="O1" s="44" t="n"/>
    </row>
    <row r="2" ht="14.5" customHeight="1" thickTop="1">
      <c r="A2" s="44" t="n"/>
      <c r="B2" s="53" t="n"/>
      <c r="C2" s="44" t="n"/>
      <c r="D2" s="44" t="n"/>
      <c r="E2" s="44" t="n"/>
      <c r="F2" s="44" t="n"/>
      <c r="G2" s="44" t="n"/>
      <c r="H2" s="44" t="n"/>
      <c r="I2" s="44" t="n"/>
      <c r="J2" s="44" t="n"/>
      <c r="K2" s="44" t="n"/>
      <c r="L2" s="44" t="n"/>
      <c r="M2" s="44" t="n"/>
      <c r="N2" s="44" t="n"/>
      <c r="O2" s="44" t="n"/>
    </row>
    <row r="3" ht="17.5" customHeight="1">
      <c r="A3" s="44" t="n"/>
      <c r="B3" s="53" t="n"/>
      <c r="C3" s="44" t="n"/>
      <c r="D3" s="297" t="inlineStr">
        <is>
          <t>Name:</t>
        </is>
      </c>
      <c r="E3" s="435">
        <f>IF(ISBLANK(Guidance!$E$3),"",Guidance!$E$3)</f>
        <v/>
      </c>
      <c r="F3" s="914" t="n"/>
      <c r="G3" s="914" t="n"/>
      <c r="H3" s="914" t="n"/>
      <c r="I3" s="914" t="n"/>
      <c r="J3" s="914" t="n"/>
      <c r="K3" s="914" t="n"/>
      <c r="L3" s="914" t="n"/>
      <c r="M3" s="44" t="n"/>
      <c r="N3" s="44" t="n"/>
      <c r="O3" s="44" t="n"/>
    </row>
    <row r="4" ht="17.5" customHeight="1">
      <c r="A4" s="44" t="n"/>
      <c r="B4" s="53" t="n"/>
      <c r="C4" s="44" t="n"/>
      <c r="D4" s="297" t="inlineStr">
        <is>
          <t>Company Name:</t>
        </is>
      </c>
      <c r="E4" s="435">
        <f>IF(ISBLANK(Guidance!$E$4),"",Guidance!$E$4)</f>
        <v/>
      </c>
      <c r="F4" s="914" t="n"/>
      <c r="G4" s="914" t="n"/>
      <c r="H4" s="914" t="n"/>
      <c r="I4" s="914" t="n"/>
      <c r="J4" s="914" t="n"/>
      <c r="K4" s="914" t="n"/>
      <c r="L4" s="914" t="n"/>
      <c r="M4" s="44" t="n"/>
      <c r="N4" s="44" t="n"/>
      <c r="O4" s="44" t="n"/>
    </row>
    <row r="5" ht="17.5" customHeight="1">
      <c r="A5" s="44" t="n"/>
      <c r="B5" s="53" t="n"/>
      <c r="C5" s="44" t="n"/>
      <c r="D5" s="297" t="inlineStr">
        <is>
          <t>Application Number:</t>
        </is>
      </c>
      <c r="E5" s="435">
        <f>IF(ISBLANK(Guidance!#REF!),"",Guidance!#REF!)</f>
        <v/>
      </c>
      <c r="F5" s="914" t="n"/>
      <c r="G5" s="914" t="n"/>
      <c r="H5" s="914" t="n"/>
      <c r="I5" s="914" t="n"/>
      <c r="J5" s="914" t="n"/>
      <c r="K5" s="914" t="n"/>
      <c r="L5" s="914" t="n"/>
      <c r="M5" s="44" t="n"/>
      <c r="N5" s="44" t="n"/>
      <c r="O5" s="44" t="n"/>
    </row>
    <row r="6" ht="19.75" customHeight="1">
      <c r="A6" s="44" t="n"/>
      <c r="C6" s="44" t="n"/>
      <c r="D6" s="44" t="n"/>
      <c r="E6" s="44" t="n"/>
      <c r="F6" s="44" t="n"/>
      <c r="G6" s="44" t="n"/>
      <c r="H6" s="44" t="n"/>
      <c r="I6" s="44" t="n"/>
      <c r="J6" s="44" t="n"/>
      <c r="K6" s="44" t="n"/>
      <c r="L6" s="44" t="n"/>
      <c r="M6" s="44" t="n"/>
      <c r="N6" s="44" t="n"/>
      <c r="O6" s="44" t="n"/>
    </row>
    <row r="7" ht="23" customHeight="1">
      <c r="A7" s="44" t="n"/>
      <c r="B7" s="453" t="inlineStr">
        <is>
          <t>Excel Tips</t>
        </is>
      </c>
      <c r="O7" s="44" t="n"/>
      <c r="P7" s="44" t="n"/>
      <c r="Q7" s="44" t="n"/>
    </row>
    <row r="8">
      <c r="A8" s="44" t="n"/>
      <c r="B8" s="53" t="n"/>
      <c r="C8" s="44" t="n"/>
      <c r="D8" s="44" t="n"/>
      <c r="E8" s="44" t="n"/>
      <c r="F8" s="44" t="n"/>
      <c r="G8" s="44" t="n"/>
      <c r="H8" s="44" t="n"/>
      <c r="I8" s="44" t="n"/>
      <c r="J8" s="44" t="n"/>
      <c r="K8" s="44" t="n"/>
      <c r="L8" s="44" t="n"/>
      <c r="M8" s="44" t="n"/>
      <c r="N8" s="44" t="n"/>
      <c r="O8" s="44" t="n"/>
      <c r="P8" s="44" t="n"/>
      <c r="Q8" s="44" t="n"/>
    </row>
    <row r="9" ht="49.4" customHeight="1">
      <c r="B9" s="455" t="inlineStr">
        <is>
          <t>*</t>
        </is>
      </c>
      <c r="C9" s="454" t="inlineStr">
        <is>
          <t>If you need to go to the next line in a cell or create another bullet point in the same cell, press and hold the Alt key and click the Enter key once (Control key, option key and return key for mac users). This will tab down to the next line but you will remain in the same cell. To save the changes you have made to the cell, press Enter once you are finished. Do not press Esc as this will delete your changes.</t>
        </is>
      </c>
    </row>
    <row r="10">
      <c r="B10" s="455" t="inlineStr">
        <is>
          <t>*</t>
        </is>
      </c>
      <c r="C10" s="454" t="inlineStr">
        <is>
          <t>If you need to edit a cell without deleting any of the text you have already typed in, first select the cell and click in the formula bar (shown in screenshot below)</t>
        </is>
      </c>
    </row>
    <row r="25">
      <c r="B25" s="455" t="inlineStr">
        <is>
          <t>*</t>
        </is>
      </c>
      <c r="C25" s="454" t="inlineStr">
        <is>
          <t>Wherever you click in the function box, that is where your curser will appear and you will be able to add text. Please see an example below.</t>
        </is>
      </c>
    </row>
    <row r="37" ht="49.4" customHeight="1">
      <c r="B37" s="455" t="inlineStr">
        <is>
          <t>*</t>
        </is>
      </c>
      <c r="C37" s="454" t="inlineStr">
        <is>
          <t>We have tried to size the answer cells appropriately so you don't have to make any changes. If, however, the paragraph you are writing is long and the text begins to go outside of the cell boundaries, expand the formula bar by hovering over the bottom line of the formula bar until the double headed arrow appears. Click and drag the arrow down and the formular bar will be expanded as shown below. Click Enter once you have completed the paragraph.</t>
        </is>
      </c>
    </row>
    <row r="52" ht="33.65" customHeight="1">
      <c r="B52" s="455" t="inlineStr">
        <is>
          <t>*</t>
        </is>
      </c>
      <c r="C52" s="912" t="inlineStr">
        <is>
          <t>Once you have expanded the formula bar and you are happy with the content of the cell, expand the row by clicking and dragging the row separator as shown below. Press enter to save your changes in the cell.</t>
        </is>
      </c>
    </row>
    <row r="63" ht="33.75" customHeight="1">
      <c r="B63" s="455" t="inlineStr">
        <is>
          <t>*</t>
        </is>
      </c>
      <c r="C63" s="912" t="inlineStr">
        <is>
          <t>To view comments on the spreadsheet, click review at the top middle of the ribbon. Next, click show comments. You should be able to move through the comments by clicking next comment or previous comment.</t>
        </is>
      </c>
    </row>
  </sheetData>
  <mergeCells count="10">
    <mergeCell ref="E4:L4"/>
    <mergeCell ref="C10:N10"/>
    <mergeCell ref="E3:L3"/>
    <mergeCell ref="C63:N63"/>
    <mergeCell ref="C25:N25"/>
    <mergeCell ref="C37:N37"/>
    <mergeCell ref="C52:N52"/>
    <mergeCell ref="C9:N9"/>
    <mergeCell ref="B7:N7"/>
    <mergeCell ref="E5:L5"/>
  </mergeCells>
  <printOptions horizontalCentered="1"/>
  <pageMargins left="0.3149606299212598" right="0.3149606299212598" top="0.3543307086614174" bottom="0.1574803149606299" header="0.3149606299212598" footer="0.1181102362204725"/>
  <pageSetup orientation="portrait" paperSize="9" scale="5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Sarah Stephens</dc:creator>
  <dcterms:created xsi:type="dcterms:W3CDTF">2013-11-28T09:20:30Z</dcterms:created>
  <dcterms:modified xsi:type="dcterms:W3CDTF">2026-07-21T12:41:54Z</dcterms:modified>
  <cp:lastModifiedBy>Alison Diffin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0x010100480CB59BB45EF54FBF22AC331A671B2900AFAEA30226102E43AEDEA972D5220EC0</vt:lpwstr>
  </property>
  <property name="SharedWithUsers" fmtid="{D5CDD505-2E9C-101B-9397-08002B2CF9AE}" pid="3">
    <vt:lpwstr>230;#Gonzalo Acha</vt:lpwstr>
  </property>
</Properties>
</file>